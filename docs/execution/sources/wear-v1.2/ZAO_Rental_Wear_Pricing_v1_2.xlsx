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43f415cea264e2d" /></Relationships>
</file>

<file path=xl/workbook.xml><?xml version="1.0" encoding="utf-8"?>
<x:workbook xmlns:x="http://schemas.openxmlformats.org/spreadsheetml/2006/main">
  <x:sheets>
    <x:sheet xmlns:r="http://schemas.openxmlformats.org/officeDocument/2006/relationships" name="はじめに" sheetId="1" r:id="Rce4c6b45123146df"/>
    <x:sheet xmlns:r="http://schemas.openxmlformats.org/officeDocument/2006/relationships" name="ウェア料金" sheetId="2" r:id="Rd154169298ab4fe8"/>
    <x:sheet xmlns:r="http://schemas.openxmlformats.org/officeDocument/2006/relationships" name="道具込み総額" sheetId="3" r:id="R3e323d7a7ae14a37"/>
    <x:sheet xmlns:r="http://schemas.openxmlformats.org/officeDocument/2006/relationships" name="市場比較" sheetId="4" r:id="Rb97ab227e29c4a68"/>
    <x:sheet xmlns:r="http://schemas.openxmlformats.org/officeDocument/2006/relationships" name="原価感度" sheetId="5" r:id="R4d373ac6cabf4c5a"/>
    <x:sheet xmlns:r="http://schemas.openxmlformats.org/officeDocument/2006/relationships" name="既存道具価格" sheetId="6" r:id="R7b7591cfa1bb4b02"/>
    <x:sheet xmlns:r="http://schemas.openxmlformats.org/officeDocument/2006/relationships" name="出典" sheetId="7" r:id="Rf7cdb3f9710041ca"/>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quot;円&quot;;[Red](#,##0&quot;円&quot;);&quot;-&quot;"/>
    <x:numFmt numFmtId="202" formatCode="0.0%"/>
  </x:numFmts>
  <x:fonts count="8">
    <x:font>
      <x:sz val="11"/>
      <x:name val="Carlito"/>
    </x:font>
    <x:font>
      <x:sz val="11"/>
      <x:name val="Arial"/>
    </x:font>
    <x:font>
      <x:sz val="10"/>
      <x:name val="Arial"/>
    </x:font>
    <x:font>
      <x:b/>
      <x:sz val="17"/>
      <x:color rgb="FFFFFFFF"/>
      <x:name val="Arial"/>
    </x:font>
    <x:font>
      <x:sz val="10"/>
      <x:color rgb="FF183047"/>
      <x:name val="Arial"/>
    </x:font>
    <x:font>
      <x:sz val="10"/>
      <x:color rgb="FF0000FF"/>
      <x:name val="Arial"/>
    </x:font>
    <x:font>
      <x:b/>
      <x:sz val="10"/>
      <x:color rgb="FFFFFFFF"/>
      <x:name val="Arial"/>
    </x:font>
    <x:font>
      <x:b/>
      <x:sz val="10"/>
      <x:name val="Arial"/>
    </x:font>
  </x:fonts>
  <x:fills count="7">
    <x:fill>
      <x:patternFill patternType="none"/>
    </x:fill>
    <x:fill>
      <x:patternFill patternType="gray125"/>
    </x:fill>
    <x:fill>
      <x:patternFill patternType="solid">
        <x:fgColor rgb="FF183047"/>
      </x:patternFill>
    </x:fill>
    <x:fill>
      <x:patternFill patternType="solid">
        <x:fgColor rgb="FFEAF2F5"/>
      </x:patternFill>
    </x:fill>
    <x:fill>
      <x:patternFill patternType="solid">
        <x:fgColor rgb="FFFFF1CE"/>
      </x:patternFill>
    </x:fill>
    <x:fill>
      <x:patternFill patternType="solid">
        <x:fgColor rgb="FF166B72"/>
      </x:patternFill>
    </x:fill>
    <x:fill>
      <x:patternFill patternType="solid">
        <x:fgColor rgb="FFFFFFFF"/>
      </x:patternFill>
    </x:fill>
  </x:fills>
  <x:borders count="2">
    <x:border/>
    <x:border/>
  </x:borders>
  <x:cellStyleXfs count="1">
    <x:xf numFmtId="0" fontId="0" fillId="0" borderId="0"/>
  </x:cellStyleXfs>
  <x:cellXfs count="62">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2" fillId="0" borderId="0" xfId="0" applyNumberFormat="1" applyFont="1" applyFill="1" applyBorder="1"/>
    <x:xf numFmtId="0" fontId="2" fillId="0" borderId="1" xfId="0" applyNumberFormat="1" applyFont="1" applyFill="1" applyBorder="1"/>
    <x:xf numFmtId="0" fontId="2" fillId="2" borderId="0" xfId="0" applyNumberFormat="1" applyFont="1" applyFill="1" applyBorder="1"/>
    <x:xf numFmtId="0" fontId="3" fillId="2" borderId="0" xfId="0" applyNumberFormat="1" applyFont="1" applyFill="1" applyBorder="1"/>
    <x:xf numFmtId="0" fontId="2" fillId="2" borderId="1" xfId="0" applyNumberFormat="1" applyFont="1" applyFill="1" applyBorder="1"/>
    <x:xf numFmtId="0" fontId="3" fillId="2" borderId="1" xfId="0" applyNumberFormat="1" applyFont="1" applyFill="1" applyBorder="1"/>
    <x:xf numFmtId="0" fontId="2"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wrapText="1"/>
    </x:xf>
    <x:xf numFmtId="0" fontId="2" fillId="3" borderId="1" xfId="0" applyNumberFormat="1" applyFont="1" applyFill="1" applyBorder="1"/>
    <x:xf numFmtId="0" fontId="4" fillId="3" borderId="1" xfId="0" applyNumberFormat="1" applyFont="1" applyFill="1" applyBorder="1"/>
    <x:xf numFmtId="0" fontId="4" fillId="3" borderId="1" xfId="0" applyNumberFormat="1" applyFont="1" applyFill="1" applyBorder="1" applyAlignment="1">
      <x:alignment wrapText="1"/>
    </x:xf>
    <x:xf numFmtId="200" fontId="2" fillId="0" borderId="0" xfId="0" applyNumberFormat="1" applyFont="1" applyFill="1" applyBorder="1"/>
    <x:xf numFmtId="200" fontId="2" fillId="0" borderId="1" xfId="0" applyNumberFormat="1" applyFont="1" applyFill="1" applyBorder="1"/>
    <x:xf numFmtId="200" fontId="2" fillId="4" borderId="0" xfId="0" applyNumberFormat="1" applyFont="1" applyFill="1" applyBorder="1"/>
    <x:xf numFmtId="200" fontId="5" fillId="4" borderId="0" xfId="0" applyNumberFormat="1" applyFont="1" applyFill="1" applyBorder="1"/>
    <x:xf numFmtId="200" fontId="2" fillId="4" borderId="1" xfId="0" applyNumberFormat="1" applyFont="1" applyFill="1" applyBorder="1"/>
    <x:xf numFmtId="200" fontId="5" fillId="4" borderId="1" xfId="0" applyNumberFormat="1" applyFont="1" applyFill="1" applyBorder="1"/>
    <x:xf numFmtId="0" fontId="2" fillId="0" borderId="0" xfId="0" applyNumberFormat="1" applyFont="1" applyFill="1" applyBorder="1" applyAlignment="1">
      <x:alignment wrapText="1"/>
    </x:xf>
    <x:xf numFmtId="0" fontId="2" fillId="0" borderId="1" xfId="0" applyNumberFormat="1" applyFont="1" applyFill="1" applyBorder="1" applyAlignment="1">
      <x:alignment wrapText="1"/>
    </x:xf>
    <x:xf numFmtId="0" fontId="2" fillId="5" borderId="0" xfId="0" applyNumberFormat="1" applyFont="1" applyFill="1" applyBorder="1"/>
    <x:xf numFmtId="0" fontId="6" fillId="5" borderId="0" xfId="0" applyNumberFormat="1" applyFont="1" applyFill="1" applyBorder="1"/>
    <x:xf numFmtId="0" fontId="6" fillId="5" borderId="0" xfId="0" applyNumberFormat="1" applyFont="1" applyFill="1" applyBorder="1" applyAlignment="1">
      <x:alignment wrapText="1"/>
    </x:xf>
    <x:xf numFmtId="0" fontId="6" fillId="5" borderId="0" xfId="0" applyNumberFormat="1" applyFont="1" applyFill="1" applyBorder="1" applyAlignment="1">
      <x:alignment vertical="center" wrapText="1"/>
    </x:xf>
    <x:xf numFmtId="0" fontId="2" fillId="5" borderId="1" xfId="0" applyNumberFormat="1" applyFont="1" applyFill="1" applyBorder="1"/>
    <x:xf numFmtId="0" fontId="6" fillId="5" borderId="1" xfId="0" applyNumberFormat="1" applyFont="1" applyFill="1" applyBorder="1"/>
    <x:xf numFmtId="0" fontId="6" fillId="5" borderId="1" xfId="0" applyNumberFormat="1" applyFont="1" applyFill="1" applyBorder="1" applyAlignment="1">
      <x:alignment wrapText="1"/>
    </x:xf>
    <x:xf numFmtId="0" fontId="6" fillId="5" borderId="1" xfId="0" applyNumberFormat="1" applyFont="1" applyFill="1" applyBorder="1" applyAlignment="1">
      <x:alignment vertical="center" wrapText="1"/>
    </x:xf>
    <x:xf numFmtId="201" fontId="2" fillId="3" borderId="0" xfId="0" applyNumberFormat="1" applyFont="1" applyFill="1" applyBorder="1"/>
    <x:xf numFmtId="201" fontId="2" fillId="0" borderId="0" xfId="0" applyNumberFormat="1" applyFont="1" applyFill="1" applyBorder="1"/>
    <x:xf numFmtId="201" fontId="2" fillId="3" borderId="1" xfId="0" applyNumberFormat="1" applyFont="1" applyFill="1" applyBorder="1"/>
    <x:xf numFmtId="201" fontId="2" fillId="0" borderId="1" xfId="0" applyNumberFormat="1" applyFont="1" applyFill="1" applyBorder="1"/>
    <x:xf numFmtId="201" fontId="5" fillId="3" borderId="0" xfId="0" applyNumberFormat="1" applyFont="1" applyFill="1" applyBorder="1"/>
    <x:xf numFmtId="201" fontId="5" fillId="0" borderId="0" xfId="0" applyNumberFormat="1" applyFont="1" applyFill="1" applyBorder="1"/>
    <x:xf numFmtId="201" fontId="5" fillId="3" borderId="1" xfId="0" applyNumberFormat="1" applyFont="1" applyFill="1" applyBorder="1"/>
    <x:xf numFmtId="201" fontId="5" fillId="0" borderId="1" xfId="0" applyNumberFormat="1" applyFont="1" applyFill="1" applyBorder="1"/>
    <x:xf numFmtId="0" fontId="2" fillId="4" borderId="0" xfId="0" applyNumberFormat="1" applyFont="1" applyFill="1" applyBorder="1"/>
    <x:xf numFmtId="0" fontId="2" fillId="4" borderId="0" xfId="0" applyNumberFormat="1" applyFont="1" applyFill="1" applyBorder="1" applyAlignment="1">
      <x:alignment wrapText="1"/>
    </x:xf>
    <x:xf numFmtId="0" fontId="2" fillId="4" borderId="1" xfId="0" applyNumberFormat="1" applyFont="1" applyFill="1" applyBorder="1"/>
    <x:xf numFmtId="0" fontId="2" fillId="4" borderId="1" xfId="0" applyNumberFormat="1" applyFont="1" applyFill="1" applyBorder="1" applyAlignment="1">
      <x:alignment wrapText="1"/>
    </x:xf>
    <x:xf numFmtId="201" fontId="2" fillId="0" borderId="0" xfId="0" applyNumberFormat="1" applyFont="1" applyFill="1" applyBorder="1" applyAlignment="1">
      <x:alignment wrapText="1"/>
    </x:xf>
    <x:xf numFmtId="201" fontId="2" fillId="0" borderId="1" xfId="0" applyNumberFormat="1" applyFont="1" applyFill="1" applyBorder="1" applyAlignment="1">
      <x:alignment wrapText="1"/>
    </x:xf>
    <x:xf numFmtId="201" fontId="2" fillId="4" borderId="0" xfId="0" applyNumberFormat="1" applyFont="1" applyFill="1" applyBorder="1"/>
    <x:xf numFmtId="201" fontId="5" fillId="4" borderId="0" xfId="0" applyNumberFormat="1" applyFont="1" applyFill="1" applyBorder="1"/>
    <x:xf numFmtId="201" fontId="2" fillId="4" borderId="1" xfId="0" applyNumberFormat="1" applyFont="1" applyFill="1" applyBorder="1"/>
    <x:xf numFmtId="201" fontId="5" fillId="4" borderId="1" xfId="0" applyNumberFormat="1" applyFont="1" applyFill="1" applyBorder="1"/>
    <x:xf numFmtId="202" fontId="2" fillId="0" borderId="0" xfId="0" applyNumberFormat="1" applyFont="1" applyFill="1" applyBorder="1"/>
    <x:xf numFmtId="202" fontId="2" fillId="0" borderId="1" xfId="0" applyNumberFormat="1" applyFont="1" applyFill="1" applyBorder="1"/>
    <x:xf numFmtId="0" fontId="2" fillId="3" borderId="0" xfId="0" applyNumberFormat="1" applyFont="1" applyFill="1" applyBorder="1" applyAlignment="1">
      <x:alignment wrapText="1"/>
    </x:xf>
    <x:xf numFmtId="0" fontId="2" fillId="3" borderId="1" xfId="0" applyNumberFormat="1" applyFont="1" applyFill="1" applyBorder="1" applyAlignment="1">
      <x:alignment wrapText="1"/>
    </x:xf>
    <x:xf numFmtId="0" fontId="7" fillId="3" borderId="0" xfId="0" applyNumberFormat="1" applyFont="1" applyFill="1" applyBorder="1" applyAlignment="1">
      <x:alignment wrapText="1"/>
    </x:xf>
    <x:xf numFmtId="0" fontId="7" fillId="3" borderId="1" xfId="0" applyNumberFormat="1" applyFont="1" applyFill="1" applyBorder="1" applyAlignment="1">
      <x:alignment wrapText="1"/>
    </x:xf>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1" xfId="0" applyNumberFormat="1" applyFont="1" applyFill="1" applyBorder="1"/>
    <x:xf numFmtId="0" fontId="2" fillId="6" borderId="1" xfId="0" applyNumberFormat="1" applyFont="1" applyFill="1" applyBorder="1" applyAlignment="1">
      <x:alignment wrapText="1"/>
    </x:xf>
    <x:xf numFmtId="0" fontId="7" fillId="6" borderId="0" xfId="0" applyNumberFormat="1" applyFont="1" applyFill="1" applyBorder="1" applyAlignment="1">
      <x:alignment wrapText="1"/>
    </x:xf>
    <x:xf numFmtId="0" fontId="7" fillId="6"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60bb1440d6546eb" /><Relationship Type="http://schemas.openxmlformats.org/officeDocument/2006/relationships/theme" Target="/xl/theme/theme1.xml" Id="R68a2691b09424ab0" /><Relationship Type="http://schemas.openxmlformats.org/officeDocument/2006/relationships/sharedStrings" Target="/xl/sharedStrings.xml" Id="Ra1ece8987f7749f8" /><Relationship Type="http://schemas.openxmlformats.org/officeDocument/2006/relationships/worksheet" Target="/xl/worksheets/sheet1.xml" Id="Rce4c6b45123146df" /><Relationship Type="http://schemas.openxmlformats.org/officeDocument/2006/relationships/worksheet" Target="/xl/worksheets/sheet2.xml" Id="Rd154169298ab4fe8" /><Relationship Type="http://schemas.openxmlformats.org/officeDocument/2006/relationships/worksheet" Target="/xl/worksheets/sheet3.xml" Id="R3e323d7a7ae14a37" /><Relationship Type="http://schemas.openxmlformats.org/officeDocument/2006/relationships/worksheet" Target="/xl/worksheets/sheet4.xml" Id="Rb97ab227e29c4a68" /><Relationship Type="http://schemas.openxmlformats.org/officeDocument/2006/relationships/worksheet" Target="/xl/worksheets/sheet5.xml" Id="R4d373ac6cabf4c5a" /><Relationship Type="http://schemas.openxmlformats.org/officeDocument/2006/relationships/worksheet" Target="/xl/worksheets/sheet6.xml" Id="R7b7591cfa1bb4b02" /><Relationship Type="http://schemas.openxmlformats.org/officeDocument/2006/relationships/worksheet" Target="/xl/worksheets/sheet7.xml" Id="Rf7cdb3f9710041c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5" hidden="0" customWidth="1"/>
    <x:col min="2" max="2" width="15" hidden="0" customWidth="1"/>
    <x:col min="3" max="3" width="15" hidden="0" customWidth="1"/>
    <x:col min="4" max="4" width="15" hidden="0" customWidth="1"/>
    <x:col min="5" max="5" width="15" hidden="0" customWidth="1"/>
    <x:col min="6" max="6" width="15" hidden="0" customWidth="1"/>
  </x:cols>
  <x:sheetData>
    <x:row r="1" ht="34" customHeight="1">
      <x:c r="A1" s="7" t="str">
        <x:v>ZAO RENTAL | ウェア予約価格・実装検討 v1.2</x:v>
      </x:c>
      <x:c r="B1" s="7"/>
      <x:c r="C1" s="7"/>
      <x:c r="D1" s="7"/>
      <x:c r="E1" s="7"/>
      <x:c r="F1" s="7"/>
    </x:row>
    <x:row r="2" ht="22" customHeight="1">
      <x:c r="A2" s="12" t="str">
        <x:v>研究・提案・開発seed。公開承認済みの本番価格表ではない。</x:v>
      </x:c>
      <x:c r="B2" s="12"/>
      <x:c r="C2" s="12"/>
      <x:c r="D2" s="12"/>
      <x:c r="E2" s="12"/>
      <x:c r="F2" s="12"/>
    </x:row>
    <x:row r="3" ht="22" customHeight="1">
      <x:c r="A3" s="12"/>
      <x:c r="B3" s="12"/>
      <x:c r="C3" s="12"/>
      <x:c r="D3" s="12"/>
      <x:c r="E3" s="12"/>
      <x:c r="F3" s="12"/>
    </x:row>
    <x:row r="4" ht="22" customHeight="1">
      <x:c r="A4" s="4"/>
      <x:c r="B4" s="4"/>
      <x:c r="C4" s="4"/>
      <x:c r="D4" s="4"/>
      <x:c r="E4" s="4"/>
      <x:c r="F4" s="4"/>
    </x:row>
    <x:row r="5" ht="22" customHeight="1">
      <x:c r="A5" s="4"/>
      <x:c r="B5" s="4"/>
      <x:c r="C5" s="4"/>
      <x:c r="D5" s="4"/>
      <x:c r="E5" s="4"/>
      <x:c r="F5" s="4"/>
    </x:row>
    <x:row r="6" ht="38" customHeight="1">
      <x:c r="A6" s="54" t="str">
        <x:v>推奨1日単独</x:v>
      </x:c>
      <x:c r="B6" s="54"/>
      <x:c r="C6" s="52" t="str">
        <x:v>大人5,000円／子供3,500円</x:v>
      </x:c>
      <x:c r="D6" s="52"/>
      <x:c r="E6" s="52"/>
      <x:c r="F6" s="52"/>
    </x:row>
    <x:row r="7" ht="38" customHeight="1">
      <x:c r="A7" s="60" t="str">
        <x:v>推奨1日追加</x:v>
      </x:c>
      <x:c r="B7" s="60"/>
      <x:c r="C7" s="57" t="str">
        <x:v>道具SETと同一利用者：大人4,000円／子供2,800円</x:v>
      </x:c>
      <x:c r="D7" s="57"/>
      <x:c r="E7" s="57"/>
      <x:c r="F7" s="57"/>
    </x:row>
    <x:row r="8" ht="38" customHeight="1">
      <x:c r="A8" s="54" t="str">
        <x:v>期間</x:v>
      </x:c>
      <x:c r="B8" s="54"/>
      <x:c r="C8" s="52" t="str">
        <x:v>半日AM/PM＋1〜10日、スキー/スノーボード共通</x:v>
      </x:c>
      <x:c r="D8" s="52"/>
      <x:c r="E8" s="52"/>
      <x:c r="F8" s="52"/>
    </x:row>
    <x:row r="9" ht="38" customHeight="1">
      <x:c r="A9" s="60" t="str">
        <x:v>価格の順序</x:v>
      </x:c>
      <x:c r="B9" s="60"/>
      <x:c r="C9" s="57" t="str">
        <x:v>道具・衣類明示値 → 衣類20%調整 → 承認coupon → 5%早割</x:v>
      </x:c>
      <x:c r="D9" s="57"/>
      <x:c r="E9" s="57"/>
      <x:c r="F9" s="57"/>
    </x:row>
    <x:row r="10" ht="38" customHeight="1">
      <x:c r="A10" s="54" t="str">
        <x:v>採用想定</x:v>
      </x:c>
      <x:c r="B10" s="54"/>
      <x:c r="C10" s="52" t="str">
        <x:v>売るのは上下、在庫は上1着・下1着。組合せ専用在庫を別に作らない。</x:v>
      </x:c>
      <x:c r="D10" s="52"/>
      <x:c r="E10" s="52"/>
      <x:c r="F10" s="52"/>
    </x:row>
    <x:row r="11" ht="38" customHeight="1">
      <x:c r="A11" s="60" t="str">
        <x:v>現物数</x:v>
      </x:c>
      <x:c r="B11" s="60"/>
      <x:c r="C11" s="57" t="str">
        <x:v>約200着はセット/パーツ単位未確認。公開可能数はサイズ・店舗・状態別。</x:v>
      </x:c>
      <x:c r="D11" s="57"/>
      <x:c r="E11" s="57"/>
      <x:c r="F11" s="57"/>
    </x:row>
    <x:row r="12" ht="38" customHeight="1">
      <x:c r="A12" s="54" t="str">
        <x:v>税</x:v>
      </x:c>
      <x:c r="B12" s="54"/>
      <x:c r="C12" s="52" t="str">
        <x:v>消費者総額の提案。既存道具の税区分が未確認なので合計は仮定。</x:v>
      </x:c>
      <x:c r="D12" s="52"/>
      <x:c r="E12" s="52"/>
      <x:c r="F12" s="52"/>
    </x:row>
    <x:row r="13" ht="38" customHeight="1">
      <x:c r="A13" s="60" t="str">
        <x:v>本番ゲート</x:v>
      </x:c>
      <x:c r="B13" s="60"/>
      <x:c r="C13" s="57" t="str">
        <x:v>価格承認、税、衣類明細、清掃/乾燥能力、素材権利、実端末確認。</x:v>
      </x:c>
      <x:c r="D13" s="57"/>
      <x:c r="E13" s="57"/>
      <x:c r="F13" s="57"/>
    </x:row>
    <x:row r="14" ht="38" customHeight="1">
      <x:c r="A14" s="54" t="str">
        <x:v>実装パック</x:v>
      </x:c>
      <x:c r="B14" s="54"/>
      <x:c r="C14" s="52" t="str">
        <x:v>00_START_HERE.mdから読む。以前のv1.1は原本のまま同梱。</x:v>
      </x:c>
      <x:c r="D14" s="52"/>
      <x:c r="E14" s="52"/>
      <x:c r="F14" s="52"/>
    </x:row>
    <x:row r="15" ht="38" customHeight="1">
      <x:c r="A15" s="60" t="str">
        <x:v>数式</x:v>
      </x:c>
      <x:c r="B15" s="60"/>
      <x:c r="C15" s="57" t="str">
        <x:v>黄色入力のみ検討用。Excel変更でJSONや本番価格は更新されない。</x:v>
      </x:c>
      <x:c r="D15" s="57"/>
      <x:c r="E15" s="57"/>
      <x:c r="F15" s="57"/>
    </x:row>
    <x:row r="16" ht="38" customHeight="1">
      <x:c r="A16" s="54" t="str">
        <x:v>計算検証</x:v>
      </x:c>
      <x:c r="B16" s="54"/>
      <x:c r="C16" s="52" t="str">
        <x:v>verification/reference_results.jsonは参照計算の結果。アプリCIではない。</x:v>
      </x:c>
      <x:c r="D16" s="52"/>
      <x:c r="E16" s="52"/>
      <x:c r="F16" s="52"/>
    </x:row>
    <x:row r="17" ht="38" customHeight="1">
      <x:c r="A17" s="60" t="str">
        <x:v>資料</x:v>
      </x:c>
      <x:c r="B17" s="60"/>
      <x:c r="C17" s="57" t="str">
        <x:v>公式URLは市場比較/出典シート、詳細は研究Markdown。</x:v>
      </x:c>
      <x:c r="D17" s="57"/>
      <x:c r="E17" s="57"/>
      <x:c r="F17" s="57"/>
    </x:row>
    <x:row r="18" ht="22" customHeight="1">
      <x:c r="A18" s="4"/>
      <x:c r="B18" s="4"/>
      <x:c r="C18" s="4"/>
      <x:c r="D18" s="4"/>
      <x:c r="E18" s="4"/>
      <x:c r="F18" s="4"/>
    </x:row>
    <x:row r="19" ht="22" customHeight="1">
      <x:c r="A19" s="4"/>
      <x:c r="B19" s="4"/>
      <x:c r="C19" s="4"/>
      <x:c r="D19" s="4"/>
      <x:c r="E19" s="4"/>
      <x:c r="F19" s="4"/>
    </x:row>
    <x:row r="20" ht="22" customHeight="1">
      <x:c r="A20" s="4"/>
      <x:c r="B20" s="4"/>
      <x:c r="C20" s="4"/>
      <x:c r="D20" s="4"/>
      <x:c r="E20" s="4"/>
      <x:c r="F20" s="4"/>
    </x:row>
    <x:row r="21" ht="22" customHeight="1">
      <x:c r="A21" s="4"/>
      <x:c r="B21" s="4"/>
      <x:c r="C21" s="4"/>
      <x:c r="D21" s="4"/>
      <x:c r="E21" s="4"/>
      <x:c r="F21" s="4"/>
    </x:row>
    <x:row r="22" ht="22" customHeight="1">
      <x:c r="A22" s="4"/>
      <x:c r="B22" s="4"/>
      <x:c r="C22" s="4"/>
      <x:c r="D22" s="4"/>
      <x:c r="E22" s="4"/>
      <x:c r="F22" s="4"/>
    </x:row>
    <x:row r="23" ht="22" customHeight="1">
      <x:c r="A23" s="4"/>
      <x:c r="B23" s="4"/>
      <x:c r="C23" s="4"/>
      <x:c r="D23" s="4"/>
      <x:c r="E23" s="4"/>
      <x:c r="F23" s="4"/>
    </x:row>
    <x:row r="24" ht="22" customHeight="1">
      <x:c r="A24" s="4"/>
      <x:c r="B24" s="4"/>
      <x:c r="C24" s="4"/>
      <x:c r="D24" s="4"/>
      <x:c r="E24" s="4"/>
      <x:c r="F24" s="4"/>
    </x:row>
    <x:row r="25" ht="22" customHeight="1">
      <x:c r="A25" s="4"/>
      <x:c r="B25" s="4"/>
      <x:c r="C25" s="4"/>
      <x:c r="D25" s="4"/>
      <x:c r="E25" s="4"/>
      <x:c r="F25" s="4"/>
    </x:row>
    <x:row r="26" ht="22" customHeight="1">
      <x:c r="A26" s="4"/>
      <x:c r="B26" s="4"/>
      <x:c r="C26" s="4"/>
      <x:c r="D26" s="4"/>
      <x:c r="E26" s="4"/>
      <x:c r="F26" s="4"/>
    </x:row>
    <x:row r="27" ht="22" customHeight="1">
      <x:c r="A27" s="4"/>
      <x:c r="B27" s="4"/>
      <x:c r="C27" s="4"/>
      <x:c r="D27" s="4"/>
      <x:c r="E27" s="4"/>
      <x:c r="F27" s="4"/>
    </x:row>
  </x:sheetData>
  <x:mergeCells>
    <x:mergeCell ref="A1:F1"/>
    <x:mergeCell ref="A2:F3"/>
    <x:mergeCell ref="A6:B6"/>
    <x:mergeCell ref="C6:F6"/>
    <x:mergeCell ref="A7:B7"/>
    <x:mergeCell ref="C7:F7"/>
    <x:mergeCell ref="A8:B8"/>
    <x:mergeCell ref="C8:F8"/>
    <x:mergeCell ref="A9:B9"/>
    <x:mergeCell ref="C9:F9"/>
    <x:mergeCell ref="A10:B10"/>
    <x:mergeCell ref="C10:F10"/>
    <x:mergeCell ref="A11:B11"/>
    <x:mergeCell ref="C11:F11"/>
    <x:mergeCell ref="A12:B12"/>
    <x:mergeCell ref="C12:F12"/>
    <x:mergeCell ref="A13:B13"/>
    <x:mergeCell ref="C13:F13"/>
    <x:mergeCell ref="A14:B14"/>
    <x:mergeCell ref="C14:F14"/>
    <x:mergeCell ref="A15:B15"/>
    <x:mergeCell ref="C15:F15"/>
    <x:mergeCell ref="A16:B16"/>
    <x:mergeCell ref="C16:F16"/>
    <x:mergeCell ref="A17:B17"/>
    <x:mergeCell ref="C17:F17"/>
  </x:mergeCells>
  <x:pageMargins left="0.7" right="0.7" top="0.75" bottom="0.75" header="0.3" footer="0.3"/>
</x:worksheet>
</file>

<file path=xl/worksheets/sheet2.xml><?xml version="1.0" encoding="utf-8"?>
<x:worksheet xmlns:x="http://schemas.openxmlformats.org/spreadsheetml/2006/main">
  <x:sheetFormatPr defaultRowHeight="15"/>
  <x:cols>
    <x:col min="1" max="1" width="15"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s>
  <x:sheetData>
    <x:row r="1" ht="34" customHeight="1">
      <x:c r="A1" s="7" t="str">
        <x:v>WEAR RENTAL | 半日〜10日 価格案</x:v>
      </x:c>
      <x:c r="B1" s="7"/>
      <x:c r="C1" s="7"/>
      <x:c r="D1" s="7"/>
      <x:c r="E1" s="7"/>
      <x:c r="F1" s="7"/>
      <x:c r="G1" s="7"/>
      <x:c r="H1" s="7"/>
      <x:c r="I1" s="7"/>
    </x:row>
    <x:row r="2" ht="22" customHeight="1">
      <x:c r="A2" s="12" t="str">
        <x:v>大人13歳以上・子供12歳以下／スキー・スノーボード共通。消費者総額の提案。税区分・本番公開は未承認。</x:v>
      </x:c>
      <x:c r="B2" s="12"/>
      <x:c r="C2" s="12"/>
      <x:c r="D2" s="12"/>
      <x:c r="E2" s="12"/>
      <x:c r="F2" s="12"/>
      <x:c r="G2" s="12"/>
      <x:c r="H2" s="12"/>
      <x:c r="I2" s="12"/>
    </x:row>
    <x:row r="3" ht="22" customHeight="1">
      <x:c r="A3" s="12"/>
      <x:c r="B3" s="12"/>
      <x:c r="C3" s="12"/>
      <x:c r="D3" s="12"/>
      <x:c r="E3" s="12"/>
      <x:c r="F3" s="12"/>
      <x:c r="G3" s="12"/>
      <x:c r="H3" s="12"/>
      <x:c r="I3" s="12"/>
    </x:row>
    <x:row r="4" ht="22" customHeight="1">
      <x:c r="A4" s="4" t="str">
        <x:v>衣類セット割</x:v>
      </x:c>
      <x:c r="B4" s="19" t="n">
        <x:v>0.2</x:v>
      </x:c>
      <x:c r="C4" s="4"/>
      <x:c r="D4" s="22" t="str">
        <x:v>セット割は同じ利用者の道具SET＋衣類上下に限定。全体を20%値引きしない。早割は前日15時までの決済完了で判定。</x:v>
      </x:c>
      <x:c r="E4" s="22"/>
      <x:c r="F4" s="22"/>
      <x:c r="G4" s="22"/>
      <x:c r="H4" s="22"/>
      <x:c r="I4" s="22"/>
    </x:row>
    <x:row r="5" ht="22" customHeight="1">
      <x:c r="A5" s="4" t="str">
        <x:v>早割（決済条件）</x:v>
      </x:c>
      <x:c r="B5" s="19" t="n">
        <x:v>0.05</x:v>
      </x:c>
      <x:c r="C5" s="4"/>
      <x:c r="D5" s="22"/>
      <x:c r="E5" s="22"/>
      <x:c r="F5" s="22"/>
      <x:c r="G5" s="22"/>
      <x:c r="H5" s="22"/>
      <x:c r="I5" s="22"/>
    </x:row>
    <x:row r="6" ht="22" customHeight="1">
      <x:c r="A6" s="4"/>
      <x:c r="B6" s="4"/>
      <x:c r="C6" s="4"/>
      <x:c r="D6" s="4"/>
      <x:c r="E6" s="4"/>
      <x:c r="F6" s="4"/>
      <x:c r="G6" s="4"/>
      <x:c r="H6" s="4"/>
      <x:c r="I6" s="4"/>
    </x:row>
    <x:row r="7" ht="22" customHeight="1">
      <x:c r="A7" s="4"/>
      <x:c r="B7" s="4"/>
      <x:c r="C7" s="4"/>
      <x:c r="D7" s="4"/>
      <x:c r="E7" s="4"/>
      <x:c r="F7" s="4"/>
      <x:c r="G7" s="4"/>
      <x:c r="H7" s="4"/>
      <x:c r="I7" s="4"/>
    </x:row>
    <x:row r="8" ht="38" customHeight="1">
      <x:c r="A8" s="27" t="str">
        <x:v>利用期間</x:v>
      </x:c>
      <x:c r="B8" s="27" t="str">
        <x:v>大人 上下単独</x:v>
      </x:c>
      <x:c r="C8" s="27" t="str">
        <x:v>大人 SET追加</x:v>
      </x:c>
      <x:c r="D8" s="27" t="str">
        <x:v>大人 単独早割</x:v>
      </x:c>
      <x:c r="E8" s="27" t="str">
        <x:v>大人 追加早割</x:v>
      </x:c>
      <x:c r="F8" s="27" t="str">
        <x:v>子供 上下単独</x:v>
      </x:c>
      <x:c r="G8" s="27" t="str">
        <x:v>子供 SET追加</x:v>
      </x:c>
      <x:c r="H8" s="27" t="str">
        <x:v>子供 単独早割</x:v>
      </x:c>
      <x:c r="I8" s="27" t="str">
        <x:v>子供 追加早割</x:v>
      </x:c>
    </x:row>
    <x:row r="9" ht="22" customHeight="1">
      <x:c r="A9" s="10" t="str">
        <x:v>午前半日</x:v>
      </x:c>
      <x:c r="B9" s="36" t="n">
        <x:v>3000</x:v>
      </x:c>
      <x:c r="C9" s="32" t="n">
        <x:f>B9-ROUND(B9*$B$4,0)</x:f>
        <x:v>2400</x:v>
      </x:c>
      <x:c r="D9" s="32" t="n">
        <x:f>B9-ROUND(B9*$B$5,0)</x:f>
        <x:v>2850</x:v>
      </x:c>
      <x:c r="E9" s="32" t="n">
        <x:f>C9-ROUND(C9*$B$5,0)</x:f>
        <x:v>2280</x:v>
      </x:c>
      <x:c r="F9" s="36" t="n">
        <x:v>2000</x:v>
      </x:c>
      <x:c r="G9" s="32" t="n">
        <x:f>F9-ROUND(F9*$B$4,0)</x:f>
        <x:v>1600</x:v>
      </x:c>
      <x:c r="H9" s="32" t="n">
        <x:f>F9-ROUND(F9*$B$5,0)</x:f>
        <x:v>1900</x:v>
      </x:c>
      <x:c r="I9" s="32" t="n">
        <x:f>G9-ROUND(G9*$B$5,0)</x:f>
        <x:v>1520</x:v>
      </x:c>
    </x:row>
    <x:row r="10" ht="22" customHeight="1">
      <x:c r="A10" s="4" t="str">
        <x:v>午後半日</x:v>
      </x:c>
      <x:c r="B10" s="37" t="n">
        <x:v>3000</x:v>
      </x:c>
      <x:c r="C10" s="33" t="n">
        <x:f>B10-ROUND(B10*$B$4,0)</x:f>
        <x:v>2400</x:v>
      </x:c>
      <x:c r="D10" s="33" t="n">
        <x:f>B10-ROUND(B10*$B$5,0)</x:f>
        <x:v>2850</x:v>
      </x:c>
      <x:c r="E10" s="33" t="n">
        <x:f>C10-ROUND(C10*$B$5,0)</x:f>
        <x:v>2280</x:v>
      </x:c>
      <x:c r="F10" s="37" t="n">
        <x:v>2000</x:v>
      </x:c>
      <x:c r="G10" s="33" t="n">
        <x:f>F10-ROUND(F10*$B$4,0)</x:f>
        <x:v>1600</x:v>
      </x:c>
      <x:c r="H10" s="33" t="n">
        <x:f>F10-ROUND(F10*$B$5,0)</x:f>
        <x:v>1900</x:v>
      </x:c>
      <x:c r="I10" s="33" t="n">
        <x:f>G10-ROUND(G10*$B$5,0)</x:f>
        <x:v>1520</x:v>
      </x:c>
    </x:row>
    <x:row r="11" ht="22" customHeight="1">
      <x:c r="A11" s="10" t="str">
        <x:v>1日</x:v>
      </x:c>
      <x:c r="B11" s="36" t="n">
        <x:v>5000</x:v>
      </x:c>
      <x:c r="C11" s="32" t="n">
        <x:f>B11-ROUND(B11*$B$4,0)</x:f>
        <x:v>4000</x:v>
      </x:c>
      <x:c r="D11" s="32" t="n">
        <x:f>B11-ROUND(B11*$B$5,0)</x:f>
        <x:v>4750</x:v>
      </x:c>
      <x:c r="E11" s="32" t="n">
        <x:f>C11-ROUND(C11*$B$5,0)</x:f>
        <x:v>3800</x:v>
      </x:c>
      <x:c r="F11" s="36" t="n">
        <x:v>3500</x:v>
      </x:c>
      <x:c r="G11" s="32" t="n">
        <x:f>F11-ROUND(F11*$B$4,0)</x:f>
        <x:v>2800</x:v>
      </x:c>
      <x:c r="H11" s="32" t="n">
        <x:f>F11-ROUND(F11*$B$5,0)</x:f>
        <x:v>3325</x:v>
      </x:c>
      <x:c r="I11" s="32" t="n">
        <x:f>G11-ROUND(G11*$B$5,0)</x:f>
        <x:v>2660</x:v>
      </x:c>
    </x:row>
    <x:row r="12" ht="22" customHeight="1">
      <x:c r="A12" s="4" t="str">
        <x:v>2日</x:v>
      </x:c>
      <x:c r="B12" s="37" t="n">
        <x:v>9000</x:v>
      </x:c>
      <x:c r="C12" s="33" t="n">
        <x:f>B12-ROUND(B12*$B$4,0)</x:f>
        <x:v>7200</x:v>
      </x:c>
      <x:c r="D12" s="33" t="n">
        <x:f>B12-ROUND(B12*$B$5,0)</x:f>
        <x:v>8550</x:v>
      </x:c>
      <x:c r="E12" s="33" t="n">
        <x:f>C12-ROUND(C12*$B$5,0)</x:f>
        <x:v>6840</x:v>
      </x:c>
      <x:c r="F12" s="37" t="n">
        <x:v>6000</x:v>
      </x:c>
      <x:c r="G12" s="33" t="n">
        <x:f>F12-ROUND(F12*$B$4,0)</x:f>
        <x:v>4800</x:v>
      </x:c>
      <x:c r="H12" s="33" t="n">
        <x:f>F12-ROUND(F12*$B$5,0)</x:f>
        <x:v>5700</x:v>
      </x:c>
      <x:c r="I12" s="33" t="n">
        <x:f>G12-ROUND(G12*$B$5,0)</x:f>
        <x:v>4560</x:v>
      </x:c>
    </x:row>
    <x:row r="13" ht="22" customHeight="1">
      <x:c r="A13" s="10" t="str">
        <x:v>3日</x:v>
      </x:c>
      <x:c r="B13" s="36" t="n">
        <x:v>12500</x:v>
      </x:c>
      <x:c r="C13" s="32" t="n">
        <x:f>B13-ROUND(B13*$B$4,0)</x:f>
        <x:v>10000</x:v>
      </x:c>
      <x:c r="D13" s="32" t="n">
        <x:f>B13-ROUND(B13*$B$5,0)</x:f>
        <x:v>11875</x:v>
      </x:c>
      <x:c r="E13" s="32" t="n">
        <x:f>C13-ROUND(C13*$B$5,0)</x:f>
        <x:v>9500</x:v>
      </x:c>
      <x:c r="F13" s="36" t="n">
        <x:v>8000</x:v>
      </x:c>
      <x:c r="G13" s="32" t="n">
        <x:f>F13-ROUND(F13*$B$4,0)</x:f>
        <x:v>6400</x:v>
      </x:c>
      <x:c r="H13" s="32" t="n">
        <x:f>F13-ROUND(F13*$B$5,0)</x:f>
        <x:v>7600</x:v>
      </x:c>
      <x:c r="I13" s="32" t="n">
        <x:f>G13-ROUND(G13*$B$5,0)</x:f>
        <x:v>6080</x:v>
      </x:c>
    </x:row>
    <x:row r="14" ht="22" customHeight="1">
      <x:c r="A14" s="4" t="str">
        <x:v>4日</x:v>
      </x:c>
      <x:c r="B14" s="37" t="n">
        <x:v>15500</x:v>
      </x:c>
      <x:c r="C14" s="33" t="n">
        <x:f>B14-ROUND(B14*$B$4,0)</x:f>
        <x:v>12400</x:v>
      </x:c>
      <x:c r="D14" s="33" t="n">
        <x:f>B14-ROUND(B14*$B$5,0)</x:f>
        <x:v>14725</x:v>
      </x:c>
      <x:c r="E14" s="33" t="n">
        <x:f>C14-ROUND(C14*$B$5,0)</x:f>
        <x:v>11780</x:v>
      </x:c>
      <x:c r="F14" s="37" t="n">
        <x:v>10000</x:v>
      </x:c>
      <x:c r="G14" s="33" t="n">
        <x:f>F14-ROUND(F14*$B$4,0)</x:f>
        <x:v>8000</x:v>
      </x:c>
      <x:c r="H14" s="33" t="n">
        <x:f>F14-ROUND(F14*$B$5,0)</x:f>
        <x:v>9500</x:v>
      </x:c>
      <x:c r="I14" s="33" t="n">
        <x:f>G14-ROUND(G14*$B$5,0)</x:f>
        <x:v>7600</x:v>
      </x:c>
    </x:row>
    <x:row r="15" ht="22" customHeight="1">
      <x:c r="A15" s="10" t="str">
        <x:v>5日</x:v>
      </x:c>
      <x:c r="B15" s="36" t="n">
        <x:v>18000</x:v>
      </x:c>
      <x:c r="C15" s="32" t="n">
        <x:f>B15-ROUND(B15*$B$4,0)</x:f>
        <x:v>14400</x:v>
      </x:c>
      <x:c r="D15" s="32" t="n">
        <x:f>B15-ROUND(B15*$B$5,0)</x:f>
        <x:v>17100</x:v>
      </x:c>
      <x:c r="E15" s="32" t="n">
        <x:f>C15-ROUND(C15*$B$5,0)</x:f>
        <x:v>13680</x:v>
      </x:c>
      <x:c r="F15" s="36" t="n">
        <x:v>11500</x:v>
      </x:c>
      <x:c r="G15" s="32" t="n">
        <x:f>F15-ROUND(F15*$B$4,0)</x:f>
        <x:v>9200</x:v>
      </x:c>
      <x:c r="H15" s="32" t="n">
        <x:f>F15-ROUND(F15*$B$5,0)</x:f>
        <x:v>10925</x:v>
      </x:c>
      <x:c r="I15" s="32" t="n">
        <x:f>G15-ROUND(G15*$B$5,0)</x:f>
        <x:v>8740</x:v>
      </x:c>
    </x:row>
    <x:row r="16" ht="22" customHeight="1">
      <x:c r="A16" s="4" t="str">
        <x:v>6日</x:v>
      </x:c>
      <x:c r="B16" s="37" t="n">
        <x:v>20000</x:v>
      </x:c>
      <x:c r="C16" s="33" t="n">
        <x:f>B16-ROUND(B16*$B$4,0)</x:f>
        <x:v>16000</x:v>
      </x:c>
      <x:c r="D16" s="33" t="n">
        <x:f>B16-ROUND(B16*$B$5,0)</x:f>
        <x:v>19000</x:v>
      </x:c>
      <x:c r="E16" s="33" t="n">
        <x:f>C16-ROUND(C16*$B$5,0)</x:f>
        <x:v>15200</x:v>
      </x:c>
      <x:c r="F16" s="37" t="n">
        <x:v>13000</x:v>
      </x:c>
      <x:c r="G16" s="33" t="n">
        <x:f>F16-ROUND(F16*$B$4,0)</x:f>
        <x:v>10400</x:v>
      </x:c>
      <x:c r="H16" s="33" t="n">
        <x:f>F16-ROUND(F16*$B$5,0)</x:f>
        <x:v>12350</x:v>
      </x:c>
      <x:c r="I16" s="33" t="n">
        <x:f>G16-ROUND(G16*$B$5,0)</x:f>
        <x:v>9880</x:v>
      </x:c>
    </x:row>
    <x:row r="17" ht="22" customHeight="1">
      <x:c r="A17" s="10" t="str">
        <x:v>7日</x:v>
      </x:c>
      <x:c r="B17" s="36" t="n">
        <x:v>22000</x:v>
      </x:c>
      <x:c r="C17" s="32" t="n">
        <x:f>B17-ROUND(B17*$B$4,0)</x:f>
        <x:v>17600</x:v>
      </x:c>
      <x:c r="D17" s="32" t="n">
        <x:f>B17-ROUND(B17*$B$5,0)</x:f>
        <x:v>20900</x:v>
      </x:c>
      <x:c r="E17" s="32" t="n">
        <x:f>C17-ROUND(C17*$B$5,0)</x:f>
        <x:v>16720</x:v>
      </x:c>
      <x:c r="F17" s="36" t="n">
        <x:v>14500</x:v>
      </x:c>
      <x:c r="G17" s="32" t="n">
        <x:f>F17-ROUND(F17*$B$4,0)</x:f>
        <x:v>11600</x:v>
      </x:c>
      <x:c r="H17" s="32" t="n">
        <x:f>F17-ROUND(F17*$B$5,0)</x:f>
        <x:v>13775</x:v>
      </x:c>
      <x:c r="I17" s="32" t="n">
        <x:f>G17-ROUND(G17*$B$5,0)</x:f>
        <x:v>11020</x:v>
      </x:c>
    </x:row>
    <x:row r="18" ht="22" customHeight="1">
      <x:c r="A18" s="4" t="str">
        <x:v>8日</x:v>
      </x:c>
      <x:c r="B18" s="37" t="n">
        <x:v>23500</x:v>
      </x:c>
      <x:c r="C18" s="33" t="n">
        <x:f>B18-ROUND(B18*$B$4,0)</x:f>
        <x:v>18800</x:v>
      </x:c>
      <x:c r="D18" s="33" t="n">
        <x:f>B18-ROUND(B18*$B$5,0)</x:f>
        <x:v>22325</x:v>
      </x:c>
      <x:c r="E18" s="33" t="n">
        <x:f>C18-ROUND(C18*$B$5,0)</x:f>
        <x:v>17860</x:v>
      </x:c>
      <x:c r="F18" s="37" t="n">
        <x:v>16000</x:v>
      </x:c>
      <x:c r="G18" s="33" t="n">
        <x:f>F18-ROUND(F18*$B$4,0)</x:f>
        <x:v>12800</x:v>
      </x:c>
      <x:c r="H18" s="33" t="n">
        <x:f>F18-ROUND(F18*$B$5,0)</x:f>
        <x:v>15200</x:v>
      </x:c>
      <x:c r="I18" s="33" t="n">
        <x:f>G18-ROUND(G18*$B$5,0)</x:f>
        <x:v>12160</x:v>
      </x:c>
    </x:row>
    <x:row r="19" ht="22" customHeight="1">
      <x:c r="A19" s="10" t="str">
        <x:v>9日</x:v>
      </x:c>
      <x:c r="B19" s="36" t="n">
        <x:v>25000</x:v>
      </x:c>
      <x:c r="C19" s="32" t="n">
        <x:f>B19-ROUND(B19*$B$4,0)</x:f>
        <x:v>20000</x:v>
      </x:c>
      <x:c r="D19" s="32" t="n">
        <x:f>B19-ROUND(B19*$B$5,0)</x:f>
        <x:v>23750</x:v>
      </x:c>
      <x:c r="E19" s="32" t="n">
        <x:f>C19-ROUND(C19*$B$5,0)</x:f>
        <x:v>19000</x:v>
      </x:c>
      <x:c r="F19" s="36" t="n">
        <x:v>17000</x:v>
      </x:c>
      <x:c r="G19" s="32" t="n">
        <x:f>F19-ROUND(F19*$B$4,0)</x:f>
        <x:v>13600</x:v>
      </x:c>
      <x:c r="H19" s="32" t="n">
        <x:f>F19-ROUND(F19*$B$5,0)</x:f>
        <x:v>16150</x:v>
      </x:c>
      <x:c r="I19" s="32" t="n">
        <x:f>G19-ROUND(G19*$B$5,0)</x:f>
        <x:v>12920</x:v>
      </x:c>
    </x:row>
    <x:row r="20" ht="22" customHeight="1">
      <x:c r="A20" s="4" t="str">
        <x:v>10日</x:v>
      </x:c>
      <x:c r="B20" s="37" t="n">
        <x:v>26500</x:v>
      </x:c>
      <x:c r="C20" s="33" t="n">
        <x:f>B20-ROUND(B20*$B$4,0)</x:f>
        <x:v>21200</x:v>
      </x:c>
      <x:c r="D20" s="33" t="n">
        <x:f>B20-ROUND(B20*$B$5,0)</x:f>
        <x:v>25175</x:v>
      </x:c>
      <x:c r="E20" s="33" t="n">
        <x:f>C20-ROUND(C20*$B$5,0)</x:f>
        <x:v>20140</x:v>
      </x:c>
      <x:c r="F20" s="37" t="n">
        <x:v>18000</x:v>
      </x:c>
      <x:c r="G20" s="33" t="n">
        <x:f>F20-ROUND(F20*$B$4,0)</x:f>
        <x:v>14400</x:v>
      </x:c>
      <x:c r="H20" s="33" t="n">
        <x:f>F20-ROUND(F20*$B$5,0)</x:f>
        <x:v>17100</x:v>
      </x:c>
      <x:c r="I20" s="33" t="n">
        <x:f>G20-ROUND(G20*$B$5,0)</x:f>
        <x:v>13680</x:v>
      </x:c>
    </x:row>
    <x:row r="21" ht="22" customHeight="1">
      <x:c r="A21" s="4"/>
      <x:c r="B21" s="4"/>
      <x:c r="C21" s="4"/>
      <x:c r="D21" s="4"/>
      <x:c r="E21" s="4"/>
      <x:c r="F21" s="4"/>
      <x:c r="G21" s="4"/>
      <x:c r="H21" s="4"/>
      <x:c r="I21" s="4"/>
    </x:row>
    <x:row r="22" ht="22" customHeight="1">
      <x:c r="A22" s="41" t="str">
        <x:v>黄色・青字は検討用入力。変更しただけでJSONや本番料金は更新されない。価格の採用時は新しい明示価格版を生成し検証する。上下別売は今回含まない。</x:v>
      </x:c>
      <x:c r="B22" s="41"/>
      <x:c r="C22" s="41"/>
      <x:c r="D22" s="41"/>
      <x:c r="E22" s="41"/>
      <x:c r="F22" s="41"/>
      <x:c r="G22" s="41"/>
      <x:c r="H22" s="41"/>
      <x:c r="I22" s="41"/>
    </x:row>
    <x:row r="23" ht="22" customHeight="1">
      <x:c r="A23" s="41"/>
      <x:c r="B23" s="41"/>
      <x:c r="C23" s="41"/>
      <x:c r="D23" s="41"/>
      <x:c r="E23" s="41"/>
      <x:c r="F23" s="41"/>
      <x:c r="G23" s="41"/>
      <x:c r="H23" s="41"/>
      <x:c r="I23" s="41"/>
    </x:row>
    <x:row r="24" ht="22" customHeight="1">
      <x:c r="A24" s="4"/>
      <x:c r="B24" s="4"/>
      <x:c r="C24" s="4"/>
      <x:c r="D24" s="4"/>
      <x:c r="E24" s="4"/>
      <x:c r="F24" s="4"/>
      <x:c r="G24" s="4"/>
      <x:c r="H24" s="4"/>
      <x:c r="I24" s="4"/>
    </x:row>
    <x:row r="25" ht="22" customHeight="1">
      <x:c r="A25" s="22" t="str">
        <x:v>根拠：02_WEAR_PRICING_RESEARCH.md／research/sources.csv。合計は道具込み総額シート。</x:v>
      </x:c>
      <x:c r="B25" s="22"/>
      <x:c r="C25" s="22"/>
      <x:c r="D25" s="22"/>
      <x:c r="E25" s="22"/>
      <x:c r="F25" s="22"/>
      <x:c r="G25" s="4"/>
      <x:c r="H25" s="4"/>
      <x:c r="I25" s="4"/>
    </x:row>
    <x:row r="26" ht="22" customHeight="1">
      <x:c r="A26" s="4"/>
      <x:c r="B26" s="4"/>
      <x:c r="C26" s="4"/>
      <x:c r="D26" s="4"/>
      <x:c r="E26" s="4"/>
      <x:c r="F26" s="4"/>
      <x:c r="G26" s="4"/>
      <x:c r="H26" s="4"/>
      <x:c r="I26" s="4"/>
    </x:row>
    <x:row r="27" ht="22" customHeight="1">
      <x:c r="A27" s="4"/>
      <x:c r="B27" s="4"/>
      <x:c r="C27" s="4"/>
      <x:c r="D27" s="4"/>
      <x:c r="E27" s="4"/>
      <x:c r="F27" s="4"/>
      <x:c r="G27" s="4"/>
      <x:c r="H27" s="4"/>
      <x:c r="I27" s="4"/>
    </x:row>
    <x:row r="28" ht="22" customHeight="1">
      <x:c r="A28" s="4"/>
      <x:c r="B28" s="4"/>
      <x:c r="C28" s="4"/>
      <x:c r="D28" s="4"/>
      <x:c r="E28" s="4"/>
      <x:c r="F28" s="4"/>
      <x:c r="G28" s="4"/>
      <x:c r="H28" s="4"/>
      <x:c r="I28" s="4"/>
    </x:row>
    <x:row r="29" ht="22" customHeight="1">
      <x:c r="A29" s="4"/>
      <x:c r="B29" s="4"/>
      <x:c r="C29" s="4"/>
      <x:c r="D29" s="4"/>
      <x:c r="E29" s="4"/>
      <x:c r="F29" s="4"/>
      <x:c r="G29" s="4"/>
      <x:c r="H29" s="4"/>
      <x:c r="I29" s="4"/>
    </x:row>
    <x:row r="30" ht="22" customHeight="1">
      <x:c r="A30" s="4"/>
      <x:c r="B30" s="4"/>
      <x:c r="C30" s="4"/>
      <x:c r="D30" s="4"/>
      <x:c r="E30" s="4"/>
      <x:c r="F30" s="4"/>
      <x:c r="G30" s="4"/>
      <x:c r="H30" s="4"/>
      <x:c r="I30" s="4"/>
    </x:row>
    <x:row r="31" ht="22" customHeight="1">
      <x:c r="A31" s="4"/>
      <x:c r="B31" s="4"/>
      <x:c r="C31" s="4"/>
      <x:c r="D31" s="4"/>
      <x:c r="E31" s="4"/>
      <x:c r="F31" s="4"/>
      <x:c r="G31" s="4"/>
      <x:c r="H31" s="4"/>
      <x:c r="I31" s="4"/>
    </x:row>
    <x:row r="32" ht="22" customHeight="1">
      <x:c r="A32" s="4"/>
      <x:c r="B32" s="4"/>
      <x:c r="C32" s="4"/>
      <x:c r="D32" s="4"/>
      <x:c r="E32" s="4"/>
      <x:c r="F32" s="4"/>
      <x:c r="G32" s="4"/>
      <x:c r="H32" s="4"/>
      <x:c r="I32" s="4"/>
    </x:row>
    <x:row r="33" ht="22" customHeight="1">
      <x:c r="A33" s="4"/>
      <x:c r="B33" s="4"/>
      <x:c r="C33" s="4"/>
      <x:c r="D33" s="4"/>
      <x:c r="E33" s="4"/>
      <x:c r="F33" s="4"/>
      <x:c r="G33" s="4"/>
      <x:c r="H33" s="4"/>
      <x:c r="I33" s="4"/>
    </x:row>
    <x:row r="34" ht="22" customHeight="1">
      <x:c r="A34" s="4"/>
      <x:c r="B34" s="4"/>
      <x:c r="C34" s="4"/>
      <x:c r="D34" s="4"/>
      <x:c r="E34" s="4"/>
      <x:c r="F34" s="4"/>
      <x:c r="G34" s="4"/>
      <x:c r="H34" s="4"/>
      <x:c r="I34" s="4"/>
    </x:row>
    <x:row r="35" ht="22" customHeight="1">
      <x:c r="A35" s="4"/>
      <x:c r="B35" s="4"/>
      <x:c r="C35" s="4"/>
      <x:c r="D35" s="4"/>
      <x:c r="E35" s="4"/>
      <x:c r="F35" s="4"/>
      <x:c r="G35" s="4"/>
      <x:c r="H35" s="4"/>
      <x:c r="I35" s="4"/>
    </x:row>
    <x:row r="36" ht="22" customHeight="1">
      <x:c r="A36" s="4"/>
      <x:c r="B36" s="4"/>
      <x:c r="C36" s="4"/>
      <x:c r="D36" s="4"/>
      <x:c r="E36" s="4"/>
      <x:c r="F36" s="4"/>
      <x:c r="G36" s="4"/>
      <x:c r="H36" s="4"/>
      <x:c r="I36" s="4"/>
    </x:row>
  </x:sheetData>
  <x:mergeCells>
    <x:mergeCell ref="A1:I1"/>
    <x:mergeCell ref="A2:I3"/>
    <x:mergeCell ref="D4:I5"/>
    <x:mergeCell ref="A22:I23"/>
    <x:mergeCell ref="A25:F25"/>
  </x:mergeCells>
  <x:pageMargins left="0.7" right="0.7" top="0.75" bottom="0.75" header="0.3" footer="0.3"/>
</x:worksheet>
</file>

<file path=xl/worksheets/sheet3.xml><?xml version="1.0" encoding="utf-8"?>
<x:worksheet xmlns:x="http://schemas.openxmlformats.org/spreadsheetml/2006/main">
  <x:sheetFormatPr defaultRowHeight="15"/>
  <x:cols>
    <x:col min="1" max="1" width="15"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s>
  <x:sheetData>
    <x:row r="1" ht="34" customHeight="1">
      <x:c r="A1" s="7" t="str">
        <x:v>EQUIPMENT + WEAR | 道具セット＋上下の総額</x:v>
      </x:c>
      <x:c r="B1" s="7"/>
      <x:c r="C1" s="7"/>
      <x:c r="D1" s="7"/>
      <x:c r="E1" s="7"/>
      <x:c r="F1" s="7"/>
      <x:c r="G1" s="7"/>
    </x:row>
    <x:row r="2" ht="22" customHeight="1">
      <x:c r="A2" s="12" t="str">
        <x:v>スキー／スノーボード同額。既存道具額も税込総額とする仮定の参考計算。公開前に税・対象期間と価格承認が必要。</x:v>
      </x:c>
      <x:c r="B2" s="12"/>
      <x:c r="C2" s="12"/>
      <x:c r="D2" s="12"/>
      <x:c r="E2" s="12"/>
      <x:c r="F2" s="12"/>
      <x:c r="G2" s="12"/>
    </x:row>
    <x:row r="3" ht="22" customHeight="1">
      <x:c r="A3" s="12"/>
      <x:c r="B3" s="12"/>
      <x:c r="C3" s="12"/>
      <x:c r="D3" s="12"/>
      <x:c r="E3" s="12"/>
      <x:c r="F3" s="12"/>
      <x:c r="G3" s="12"/>
    </x:row>
    <x:row r="4" ht="22" customHeight="1">
      <x:c r="A4" s="4"/>
      <x:c r="B4" s="4"/>
      <x:c r="C4" s="4"/>
      <x:c r="D4" s="4"/>
      <x:c r="E4" s="4"/>
      <x:c r="F4" s="4"/>
      <x:c r="G4" s="4"/>
    </x:row>
    <x:row r="5" ht="22" customHeight="1">
      <x:c r="A5" s="4"/>
      <x:c r="B5" s="4"/>
      <x:c r="C5" s="4"/>
      <x:c r="D5" s="4"/>
      <x:c r="E5" s="4"/>
      <x:c r="F5" s="4"/>
      <x:c r="G5" s="4"/>
    </x:row>
    <x:row r="6" ht="22" customHeight="1">
      <x:c r="A6" s="4"/>
      <x:c r="B6" s="4"/>
      <x:c r="C6" s="4"/>
      <x:c r="D6" s="4"/>
      <x:c r="E6" s="4"/>
      <x:c r="F6" s="4"/>
      <x:c r="G6" s="4"/>
    </x:row>
    <x:row r="7" ht="22" customHeight="1">
      <x:c r="A7" s="4"/>
      <x:c r="B7" s="4"/>
      <x:c r="C7" s="4"/>
      <x:c r="D7" s="4"/>
      <x:c r="E7" s="4"/>
      <x:c r="F7" s="4"/>
      <x:c r="G7" s="4"/>
    </x:row>
    <x:row r="8" ht="38" customHeight="1">
      <x:c r="A8" s="27" t="str">
        <x:v>利用期間</x:v>
      </x:c>
      <x:c r="B8" s="27" t="str">
        <x:v>大人Regular</x:v>
      </x:c>
      <x:c r="C8" s="27" t="str">
        <x:v>同 早割5%</x:v>
      </x:c>
      <x:c r="D8" s="27" t="str">
        <x:v>大人Premium</x:v>
      </x:c>
      <x:c r="E8" s="27" t="str">
        <x:v>同 早割5%</x:v>
      </x:c>
      <x:c r="F8" s="27" t="str">
        <x:v>子供Regular</x:v>
      </x:c>
      <x:c r="G8" s="27" t="str">
        <x:v>同 早割5%</x:v>
      </x:c>
    </x:row>
    <x:row r="9" ht="22" customHeight="1">
      <x:c r="A9" s="10" t="str">
        <x:v>午前半日</x:v>
      </x:c>
      <x:c r="B9" s="32" t="n">
        <x:f>'既存道具価格'!D9+'ウェア料金'!C9</x:f>
        <x:v>8000</x:v>
      </x:c>
      <x:c r="C9" s="32" t="n">
        <x:f>B9-ROUND(B9*'ウェア料金'!$B$5,0)</x:f>
        <x:v>7600</x:v>
      </x:c>
      <x:c r="D9" s="32" t="n">
        <x:f>'既存道具価格'!D10+'ウェア料金'!C9</x:f>
        <x:v>9200</x:v>
      </x:c>
      <x:c r="E9" s="32" t="n">
        <x:f>D9-ROUND(D9*'ウェア料金'!$B$5,0)</x:f>
        <x:v>8740</x:v>
      </x:c>
      <x:c r="F9" s="32" t="n">
        <x:f>'既存道具価格'!D11+'ウェア料金'!G9</x:f>
        <x:v>4600</x:v>
      </x:c>
      <x:c r="G9" s="32" t="n">
        <x:f>F9-ROUND(F9*'ウェア料金'!$B$5,0)</x:f>
        <x:v>4370</x:v>
      </x:c>
    </x:row>
    <x:row r="10" ht="22" customHeight="1">
      <x:c r="A10" s="4" t="str">
        <x:v>午後半日</x:v>
      </x:c>
      <x:c r="B10" s="33" t="n">
        <x:f>'既存道具価格'!E9+'ウェア料金'!C10</x:f>
        <x:v>8000</x:v>
      </x:c>
      <x:c r="C10" s="33" t="n">
        <x:f>B10-ROUND(B10*'ウェア料金'!$B$5,0)</x:f>
        <x:v>7600</x:v>
      </x:c>
      <x:c r="D10" s="33" t="n">
        <x:f>'既存道具価格'!E10+'ウェア料金'!C10</x:f>
        <x:v>9200</x:v>
      </x:c>
      <x:c r="E10" s="33" t="n">
        <x:f>D10-ROUND(D10*'ウェア料金'!$B$5,0)</x:f>
        <x:v>8740</x:v>
      </x:c>
      <x:c r="F10" s="33" t="n">
        <x:f>'既存道具価格'!E11+'ウェア料金'!G10</x:f>
        <x:v>4600</x:v>
      </x:c>
      <x:c r="G10" s="33" t="n">
        <x:f>F10-ROUND(F10*'ウェア料金'!$B$5,0)</x:f>
        <x:v>4370</x:v>
      </x:c>
    </x:row>
    <x:row r="11" ht="22" customHeight="1">
      <x:c r="A11" s="10" t="str">
        <x:v>1日</x:v>
      </x:c>
      <x:c r="B11" s="32" t="n">
        <x:f>'既存道具価格'!F9+'ウェア料金'!C11</x:f>
        <x:v>11500</x:v>
      </x:c>
      <x:c r="C11" s="32" t="n">
        <x:f>B11-ROUND(B11*'ウェア料金'!$B$5,0)</x:f>
        <x:v>10925</x:v>
      </x:c>
      <x:c r="D11" s="32" t="n">
        <x:f>'既存道具価格'!F10+'ウェア料金'!C11</x:f>
        <x:v>13000</x:v>
      </x:c>
      <x:c r="E11" s="32" t="n">
        <x:f>D11-ROUND(D11*'ウェア料金'!$B$5,0)</x:f>
        <x:v>12350</x:v>
      </x:c>
      <x:c r="F11" s="32" t="n">
        <x:f>'既存道具価格'!F11+'ウェア料金'!G11</x:f>
        <x:v>6800</x:v>
      </x:c>
      <x:c r="G11" s="32" t="n">
        <x:f>F11-ROUND(F11*'ウェア料金'!$B$5,0)</x:f>
        <x:v>6460</x:v>
      </x:c>
    </x:row>
    <x:row r="12" ht="22" customHeight="1">
      <x:c r="A12" s="4" t="str">
        <x:v>2日</x:v>
      </x:c>
      <x:c r="B12" s="33" t="n">
        <x:f>'既存道具価格'!G9+'ウェア料金'!C12</x:f>
        <x:v>21000</x:v>
      </x:c>
      <x:c r="C12" s="33" t="n">
        <x:f>B12-ROUND(B12*'ウェア料金'!$B$5,0)</x:f>
        <x:v>19950</x:v>
      </x:c>
      <x:c r="D12" s="33" t="n">
        <x:f>'既存道具価格'!G10+'ウェア料金'!C12</x:f>
        <x:v>23800</x:v>
      </x:c>
      <x:c r="E12" s="33" t="n">
        <x:f>D12-ROUND(D12*'ウェア料金'!$B$5,0)</x:f>
        <x:v>22610</x:v>
      </x:c>
      <x:c r="F12" s="33" t="n">
        <x:f>'既存道具価格'!G11+'ウェア料金'!G12</x:f>
        <x:v>12200</x:v>
      </x:c>
      <x:c r="G12" s="33" t="n">
        <x:f>F12-ROUND(F12*'ウェア料金'!$B$5,0)</x:f>
        <x:v>11590</x:v>
      </x:c>
    </x:row>
    <x:row r="13" ht="22" customHeight="1">
      <x:c r="A13" s="10" t="str">
        <x:v>3日</x:v>
      </x:c>
      <x:c r="B13" s="32" t="n">
        <x:f>'既存道具価格'!H9+'ウェア料金'!C13</x:f>
        <x:v>29600</x:v>
      </x:c>
      <x:c r="C13" s="32" t="n">
        <x:f>B13-ROUND(B13*'ウェア料金'!$B$5,0)</x:f>
        <x:v>28120</x:v>
      </x:c>
      <x:c r="D13" s="32" t="n">
        <x:f>'既存道具価格'!H10+'ウェア料金'!C13</x:f>
        <x:v>33500</x:v>
      </x:c>
      <x:c r="E13" s="32" t="n">
        <x:f>D13-ROUND(D13*'ウェア料金'!$B$5,0)</x:f>
        <x:v>31825</x:v>
      </x:c>
      <x:c r="F13" s="32" t="n">
        <x:f>'既存道具価格'!H11+'ウェア料金'!G13</x:f>
        <x:v>16800</x:v>
      </x:c>
      <x:c r="G13" s="32" t="n">
        <x:f>F13-ROUND(F13*'ウェア料金'!$B$5,0)</x:f>
        <x:v>15960</x:v>
      </x:c>
    </x:row>
    <x:row r="14" ht="22" customHeight="1">
      <x:c r="A14" s="4" t="str">
        <x:v>4日</x:v>
      </x:c>
      <x:c r="B14" s="33" t="n">
        <x:f>'既存道具価格'!I9+'ウェア料金'!C14</x:f>
        <x:v>37300</x:v>
      </x:c>
      <x:c r="C14" s="33" t="n">
        <x:f>B14-ROUND(B14*'ウェア料金'!$B$5,0)</x:f>
        <x:v>35435</x:v>
      </x:c>
      <x:c r="D14" s="33" t="n">
        <x:f>'既存道具価格'!I10+'ウェア料金'!C14</x:f>
        <x:v>42300</x:v>
      </x:c>
      <x:c r="E14" s="33" t="n">
        <x:f>D14-ROUND(D14*'ウェア料金'!$B$5,0)</x:f>
        <x:v>40185</x:v>
      </x:c>
      <x:c r="F14" s="33" t="n">
        <x:f>'既存道具価格'!I11+'ウェア料金'!G14</x:f>
        <x:v>21300</x:v>
      </x:c>
      <x:c r="G14" s="33" t="n">
        <x:f>F14-ROUND(F14*'ウェア料金'!$B$5,0)</x:f>
        <x:v>20235</x:v>
      </x:c>
    </x:row>
    <x:row r="15" ht="22" customHeight="1">
      <x:c r="A15" s="10" t="str">
        <x:v>5日</x:v>
      </x:c>
      <x:c r="B15" s="32" t="n">
        <x:f>'既存道具価格'!J9+'ウェア料金'!C15</x:f>
        <x:v>44000</x:v>
      </x:c>
      <x:c r="C15" s="32" t="n">
        <x:f>B15-ROUND(B15*'ウェア料金'!$B$5,0)</x:f>
        <x:v>41800</x:v>
      </x:c>
      <x:c r="D15" s="32" t="n">
        <x:f>'既存道具価格'!J10+'ウェア料金'!C15</x:f>
        <x:v>50000</x:v>
      </x:c>
      <x:c r="E15" s="32" t="n">
        <x:f>D15-ROUND(D15*'ウェア料金'!$B$5,0)</x:f>
        <x:v>47500</x:v>
      </x:c>
      <x:c r="F15" s="32" t="n">
        <x:f>'既存道具価格'!J11+'ウェア料金'!G15</x:f>
        <x:v>25000</x:v>
      </x:c>
      <x:c r="G15" s="32" t="n">
        <x:f>F15-ROUND(F15*'ウェア料金'!$B$5,0)</x:f>
        <x:v>23750</x:v>
      </x:c>
    </x:row>
    <x:row r="16" ht="22" customHeight="1">
      <x:c r="A16" s="4" t="str">
        <x:v>6日</x:v>
      </x:c>
      <x:c r="B16" s="33" t="n">
        <x:f>'既存道具価格'!K9+'ウェア料金'!C16</x:f>
        <x:v>50200</x:v>
      </x:c>
      <x:c r="C16" s="33" t="n">
        <x:f>B16-ROUND(B16*'ウェア料金'!$B$5,0)</x:f>
        <x:v>47690</x:v>
      </x:c>
      <x:c r="D16" s="33" t="n">
        <x:f>'既存道具価格'!K10+'ウェア料金'!C16</x:f>
        <x:v>57000</x:v>
      </x:c>
      <x:c r="E16" s="33" t="n">
        <x:f>D16-ROUND(D16*'ウェア料金'!$B$5,0)</x:f>
        <x:v>54150</x:v>
      </x:c>
      <x:c r="F16" s="33" t="n">
        <x:f>'既存道具価格'!K11+'ウェア料金'!G16</x:f>
        <x:v>28600</x:v>
      </x:c>
      <x:c r="G16" s="33" t="n">
        <x:f>F16-ROUND(F16*'ウェア料金'!$B$5,0)</x:f>
        <x:v>27170</x:v>
      </x:c>
    </x:row>
    <x:row r="17" ht="22" customHeight="1">
      <x:c r="A17" s="10" t="str">
        <x:v>7日</x:v>
      </x:c>
      <x:c r="B17" s="32" t="n">
        <x:f>'既存道具価格'!L9+'ウェア料金'!C17</x:f>
        <x:v>55900</x:v>
      </x:c>
      <x:c r="C17" s="32" t="n">
        <x:f>B17-ROUND(B17*'ウェア料金'!$B$5,0)</x:f>
        <x:v>53105</x:v>
      </x:c>
      <x:c r="D17" s="32" t="n">
        <x:f>'既存道具価格'!L10+'ウェア料金'!C17</x:f>
        <x:v>63600</x:v>
      </x:c>
      <x:c r="E17" s="32" t="n">
        <x:f>D17-ROUND(D17*'ウェア料金'!$B$5,0)</x:f>
        <x:v>60420</x:v>
      </x:c>
      <x:c r="F17" s="32" t="n">
        <x:f>'既存道具価格'!L11+'ウェア料金'!G17</x:f>
        <x:v>32000</x:v>
      </x:c>
      <x:c r="G17" s="32" t="n">
        <x:f>F17-ROUND(F17*'ウェア料金'!$B$5,0)</x:f>
        <x:v>30400</x:v>
      </x:c>
    </x:row>
    <x:row r="18" ht="22" customHeight="1">
      <x:c r="A18" s="4" t="str">
        <x:v>8日</x:v>
      </x:c>
      <x:c r="B18" s="33" t="n">
        <x:f>'既存道具価格'!M9+'ウェア料金'!C18</x:f>
        <x:v>60800</x:v>
      </x:c>
      <x:c r="C18" s="33" t="n">
        <x:f>B18-ROUND(B18*'ウェア料金'!$B$5,0)</x:f>
        <x:v>57760</x:v>
      </x:c>
      <x:c r="D18" s="33" t="n">
        <x:f>'既存道具価格'!M10+'ウェア料金'!C18</x:f>
        <x:v>69200</x:v>
      </x:c>
      <x:c r="E18" s="33" t="n">
        <x:f>D18-ROUND(D18*'ウェア料金'!$B$5,0)</x:f>
        <x:v>65740</x:v>
      </x:c>
      <x:c r="F18" s="33" t="n">
        <x:f>'既存道具価格'!M11+'ウェア料金'!G18</x:f>
        <x:v>35200</x:v>
      </x:c>
      <x:c r="G18" s="33" t="n">
        <x:f>F18-ROUND(F18*'ウェア料金'!$B$5,0)</x:f>
        <x:v>33440</x:v>
      </x:c>
    </x:row>
    <x:row r="19" ht="22" customHeight="1">
      <x:c r="A19" s="10" t="str">
        <x:v>9日</x:v>
      </x:c>
      <x:c r="B19" s="32" t="n">
        <x:f>'既存道具価格'!N9+'ウェア料金'!C19</x:f>
        <x:v>65200</x:v>
      </x:c>
      <x:c r="C19" s="32" t="n">
        <x:f>B19-ROUND(B19*'ウェア料金'!$B$5,0)</x:f>
        <x:v>61940</x:v>
      </x:c>
      <x:c r="D19" s="32" t="n">
        <x:f>'既存道具価格'!N10+'ウェア料金'!C19</x:f>
        <x:v>74300</x:v>
      </x:c>
      <x:c r="E19" s="32" t="n">
        <x:f>D19-ROUND(D19*'ウェア料金'!$B$5,0)</x:f>
        <x:v>70585</x:v>
      </x:c>
      <x:c r="F19" s="32" t="n">
        <x:f>'既存道具価格'!N11+'ウェア料金'!G19</x:f>
        <x:v>37700</x:v>
      </x:c>
      <x:c r="G19" s="32" t="n">
        <x:f>F19-ROUND(F19*'ウェア料金'!$B$5,0)</x:f>
        <x:v>35815</x:v>
      </x:c>
    </x:row>
    <x:row r="20" ht="22" customHeight="1">
      <x:c r="A20" s="4" t="str">
        <x:v>10日</x:v>
      </x:c>
      <x:c r="B20" s="33" t="n">
        <x:f>'既存道具価格'!O9+'ウェア料金'!C20</x:f>
        <x:v>69200</x:v>
      </x:c>
      <x:c r="C20" s="33" t="n">
        <x:f>B20-ROUND(B20*'ウェア料金'!$B$5,0)</x:f>
        <x:v>65740</x:v>
      </x:c>
      <x:c r="D20" s="33" t="n">
        <x:f>'既存道具価格'!O10+'ウェア料金'!C20</x:f>
        <x:v>78800</x:v>
      </x:c>
      <x:c r="E20" s="33" t="n">
        <x:f>D20-ROUND(D20*'ウェア料金'!$B$5,0)</x:f>
        <x:v>74860</x:v>
      </x:c>
      <x:c r="F20" s="33" t="n">
        <x:f>'既存道具価格'!O11+'ウェア料金'!G20</x:f>
        <x:v>40000</x:v>
      </x:c>
      <x:c r="G20" s="33" t="n">
        <x:f>F20-ROUND(F20*'ウェア料金'!$B$5,0)</x:f>
        <x:v>38000</x:v>
      </x:c>
    </x:row>
    <x:row r="21" ht="22" customHeight="1">
      <x:c r="A21" s="4"/>
      <x:c r="B21" s="4"/>
      <x:c r="C21" s="4"/>
      <x:c r="D21" s="4"/>
      <x:c r="E21" s="4"/>
      <x:c r="F21" s="4"/>
      <x:c r="G21" s="4"/>
    </x:row>
    <x:row r="22" ht="22" customHeight="1">
      <x:c r="A22" s="41" t="str">
        <x:v>大人1日：Regular 11,500円→早割10,925円。Premium 13,000円→12,350円。子供6,800円→6,460円。割引対象のゴーグル・手袋等を含む「手ぶら」保証はしない。</x:v>
      </x:c>
      <x:c r="B22" s="41"/>
      <x:c r="C22" s="41"/>
      <x:c r="D22" s="41"/>
      <x:c r="E22" s="41"/>
      <x:c r="F22" s="41"/>
      <x:c r="G22" s="41"/>
    </x:row>
    <x:row r="23" ht="22" customHeight="1">
      <x:c r="A23" s="41"/>
      <x:c r="B23" s="41"/>
      <x:c r="C23" s="41"/>
      <x:c r="D23" s="41"/>
      <x:c r="E23" s="41"/>
      <x:c r="F23" s="41"/>
      <x:c r="G23" s="41"/>
    </x:row>
    <x:row r="24" ht="22" customHeight="1">
      <x:c r="A24" s="41"/>
      <x:c r="B24" s="41"/>
      <x:c r="C24" s="41"/>
      <x:c r="D24" s="41"/>
      <x:c r="E24" s="41"/>
      <x:c r="F24" s="41"/>
      <x:c r="G24" s="41"/>
    </x:row>
    <x:row r="25" ht="22" customHeight="1">
      <x:c r="A25" s="4"/>
      <x:c r="B25" s="4"/>
      <x:c r="C25" s="4"/>
      <x:c r="D25" s="4"/>
      <x:c r="E25" s="4"/>
      <x:c r="F25" s="4"/>
      <x:c r="G25" s="4"/>
    </x:row>
    <x:row r="26" ht="22" customHeight="1">
      <x:c r="A26" s="4"/>
      <x:c r="B26" s="4"/>
      <x:c r="C26" s="4"/>
      <x:c r="D26" s="4"/>
      <x:c r="E26" s="4"/>
      <x:c r="F26" s="4"/>
      <x:c r="G26" s="4"/>
    </x:row>
    <x:row r="27" ht="22" customHeight="1">
      <x:c r="A27" s="4"/>
      <x:c r="B27" s="4"/>
      <x:c r="C27" s="4"/>
      <x:c r="D27" s="4"/>
      <x:c r="E27" s="4"/>
      <x:c r="F27" s="4"/>
      <x:c r="G27" s="4"/>
    </x:row>
    <x:row r="28" ht="22" customHeight="1">
      <x:c r="A28" s="4"/>
      <x:c r="B28" s="4"/>
      <x:c r="C28" s="4"/>
      <x:c r="D28" s="4"/>
      <x:c r="E28" s="4"/>
      <x:c r="F28" s="4"/>
      <x:c r="G28" s="4"/>
    </x:row>
    <x:row r="29" ht="22" customHeight="1">
      <x:c r="A29" s="4"/>
      <x:c r="B29" s="4"/>
      <x:c r="C29" s="4"/>
      <x:c r="D29" s="4"/>
      <x:c r="E29" s="4"/>
      <x:c r="F29" s="4"/>
      <x:c r="G29" s="4"/>
    </x:row>
    <x:row r="30" ht="22" customHeight="1">
      <x:c r="A30" s="4"/>
      <x:c r="B30" s="4"/>
      <x:c r="C30" s="4"/>
      <x:c r="D30" s="4"/>
      <x:c r="E30" s="4"/>
      <x:c r="F30" s="4"/>
      <x:c r="G30" s="4"/>
    </x:row>
    <x:row r="31" ht="22" customHeight="1">
      <x:c r="A31" s="4"/>
      <x:c r="B31" s="4"/>
      <x:c r="C31" s="4"/>
      <x:c r="D31" s="4"/>
      <x:c r="E31" s="4"/>
      <x:c r="F31" s="4"/>
      <x:c r="G31" s="4"/>
    </x:row>
    <x:row r="32" ht="22" customHeight="1">
      <x:c r="A32" s="4"/>
      <x:c r="B32" s="4"/>
      <x:c r="C32" s="4"/>
      <x:c r="D32" s="4"/>
      <x:c r="E32" s="4"/>
      <x:c r="F32" s="4"/>
      <x:c r="G32" s="4"/>
    </x:row>
  </x:sheetData>
  <x:mergeCells>
    <x:mergeCell ref="A1:G1"/>
    <x:mergeCell ref="A2:G3"/>
    <x:mergeCell ref="A22:G24"/>
  </x:mergeCells>
  <x:pageMargins left="0.7" right="0.7" top="0.75" bottom="0.75" header="0.3" footer="0.3"/>
</x:worksheet>
</file>

<file path=xl/worksheets/sheet4.xml><?xml version="1.0" encoding="utf-8"?>
<x:worksheet xmlns:x="http://schemas.openxmlformats.org/spreadsheetml/2006/main">
  <x:sheetFormatPr defaultRowHeight="15"/>
  <x:cols>
    <x:col min="1" max="1" width="8" hidden="0" customWidth="1"/>
    <x:col min="2" max="2" width="25" hidden="0" customWidth="1"/>
    <x:col min="3" max="3" width="25" hidden="0" customWidth="1"/>
    <x:col min="4" max="4" width="15" hidden="0" customWidth="1"/>
    <x:col min="5" max="5" width="15" hidden="0" customWidth="1"/>
    <x:col min="6" max="6" width="15" hidden="0" customWidth="1"/>
    <x:col min="7" max="7" width="15" hidden="0" customWidth="1"/>
    <x:col min="8" max="8" width="32" hidden="0" customWidth="1"/>
    <x:col min="9" max="9" width="32" hidden="0" customWidth="1"/>
    <x:col min="10" max="10" width="32" hidden="0" customWidth="1"/>
    <x:col min="11" max="11" width="46" hidden="0" customWidth="1"/>
  </x:cols>
  <x:sheetData>
    <x:row r="1" ht="34" customHeight="1">
      <x:c r="A1" s="7" t="str">
        <x:v>MARKET RESEARCH | 公式料金の比較</x:v>
      </x:c>
      <x:c r="B1" s="7"/>
      <x:c r="C1" s="7"/>
      <x:c r="D1" s="7"/>
      <x:c r="E1" s="7"/>
      <x:c r="F1" s="7"/>
      <x:c r="G1" s="7"/>
      <x:c r="H1" s="7"/>
      <x:c r="I1" s="7"/>
      <x:c r="J1" s="7"/>
      <x:c r="K1" s="7"/>
    </x:row>
    <x:row r="2" ht="22" customHeight="1">
      <x:c r="A2" s="12" t="str">
        <x:v>比較対象は単位・期間・年齢・税・チャネルを分離。2026/27の最新確定料金と一括して呼ばない。取得版不一致・不完全な行は集計対象外。</x:v>
      </x:c>
      <x:c r="B2" s="12"/>
      <x:c r="C2" s="12"/>
      <x:c r="D2" s="12"/>
      <x:c r="E2" s="12"/>
      <x:c r="F2" s="12"/>
      <x:c r="G2" s="12"/>
      <x:c r="H2" s="12"/>
      <x:c r="I2" s="12"/>
      <x:c r="J2" s="12"/>
      <x:c r="K2" s="12"/>
    </x:row>
    <x:row r="3" ht="22" customHeight="1">
      <x:c r="A3" s="12"/>
      <x:c r="B3" s="12"/>
      <x:c r="C3" s="12"/>
      <x:c r="D3" s="12"/>
      <x:c r="E3" s="12"/>
      <x:c r="F3" s="12"/>
      <x:c r="G3" s="12"/>
      <x:c r="H3" s="12"/>
      <x:c r="I3" s="12"/>
      <x:c r="J3" s="12"/>
      <x:c r="K3" s="12"/>
    </x:row>
    <x:row r="4" ht="22" customHeight="1">
      <x:c r="A4" s="4"/>
      <x:c r="B4" s="4"/>
      <x:c r="C4" s="4"/>
      <x:c r="D4" s="4"/>
      <x:c r="E4" s="4"/>
      <x:c r="F4" s="4"/>
      <x:c r="G4" s="4"/>
      <x:c r="H4" s="4"/>
      <x:c r="I4" s="4"/>
      <x:c r="J4" s="4"/>
      <x:c r="K4" s="4"/>
    </x:row>
    <x:row r="5" ht="22" customHeight="1">
      <x:c r="A5" s="4"/>
      <x:c r="B5" s="4"/>
      <x:c r="C5" s="4"/>
      <x:c r="D5" s="4"/>
      <x:c r="E5" s="4"/>
      <x:c r="F5" s="4"/>
      <x:c r="G5" s="4"/>
      <x:c r="H5" s="4"/>
      <x:c r="I5" s="4"/>
      <x:c r="J5" s="4"/>
      <x:c r="K5" s="4"/>
    </x:row>
    <x:row r="6" ht="22" customHeight="1">
      <x:c r="A6" s="4"/>
      <x:c r="B6" s="4"/>
      <x:c r="C6" s="4"/>
      <x:c r="D6" s="4"/>
      <x:c r="E6" s="4"/>
      <x:c r="F6" s="4"/>
      <x:c r="G6" s="4"/>
      <x:c r="H6" s="4"/>
      <x:c r="I6" s="4"/>
      <x:c r="J6" s="4"/>
      <x:c r="K6" s="4"/>
    </x:row>
    <x:row r="7" ht="22" customHeight="1">
      <x:c r="A7" s="4"/>
      <x:c r="B7" s="4"/>
      <x:c r="C7" s="4"/>
      <x:c r="D7" s="4"/>
      <x:c r="E7" s="4"/>
      <x:c r="F7" s="4"/>
      <x:c r="G7" s="4"/>
      <x:c r="H7" s="4"/>
      <x:c r="I7" s="4"/>
      <x:c r="J7" s="4"/>
      <x:c r="K7" s="4"/>
    </x:row>
    <x:row r="8" ht="38" customHeight="1">
      <x:c r="A8" s="27" t="str">
        <x:v>ID</x:v>
      </x:c>
      <x:c r="B8" s="27" t="str">
        <x:v>事業者</x:v>
      </x:c>
      <x:c r="C8" s="27" t="str">
        <x:v>掲載時期</x:v>
      </x:c>
      <x:c r="D8" s="27" t="str">
        <x:v>短時間 大人</x:v>
      </x:c>
      <x:c r="E8" s="27" t="str">
        <x:v>1日 大人</x:v>
      </x:c>
      <x:c r="F8" s="27" t="str">
        <x:v>1日 子供</x:v>
      </x:c>
      <x:c r="G8" s="27" t="str">
        <x:v>3日 大人</x:v>
      </x:c>
      <x:c r="H8" s="27" t="str">
        <x:v>単位・税</x:v>
      </x:c>
      <x:c r="I8" s="27" t="str">
        <x:v>チャネル</x:v>
      </x:c>
      <x:c r="J8" s="27" t="str">
        <x:v>留意点</x:v>
      </x:c>
      <x:c r="K8" s="27" t="str">
        <x:v>出典URL</x:v>
      </x:c>
    </x:row>
    <x:row r="9" ht="55" customHeight="1">
      <x:c r="A9" s="22" t="str">
        <x:v>R01</x:v>
      </x:c>
      <x:c r="B9" s="22" t="str">
        <x:v>カスカワ／蔵王</x:v>
      </x:c>
      <x:c r="C9" s="22" t="str">
        <x:v>2025/26</x:v>
      </x:c>
      <x:c r="D9" s="44"/>
      <x:c r="E9" s="44" t="n">
        <x:v>4500</x:v>
      </x:c>
      <x:c r="F9" s="44"/>
      <x:c r="G9" s="44" t="n">
        <x:v>11500</x:v>
      </x:c>
      <x:c r="H9" s="22" t="str">
        <x:v>税込・上下</x:v>
      </x:c>
      <x:c r="I9" s="22" t="str">
        <x:v>通常</x:v>
      </x:c>
      <x:c r="J9" s="22" t="str">
        <x:v>地域の直接比較</x:v>
      </x:c>
      <x:c r="K9" s="22" t="str">
        <x:v>https://zao-skirental.jp/</x:v>
      </x:c>
    </x:row>
    <x:row r="10" ht="55" customHeight="1">
      <x:c r="A10" s="22" t="str">
        <x:v>R02</x:v>
      </x:c>
      <x:c r="B10" s="22" t="str">
        <x:v>蔵王レンタサービス</x:v>
      </x:c>
      <x:c r="C10" s="22" t="str">
        <x:v>年式未記載</x:v>
      </x:c>
      <x:c r="D10" s="44"/>
      <x:c r="E10" s="44" t="n">
        <x:v>3500</x:v>
      </x:c>
      <x:c r="F10" s="44"/>
      <x:c r="G10" s="44" t="n">
        <x:v>9500</x:v>
      </x:c>
      <x:c r="H10" s="22" t="str">
        <x:v>税込・上下</x:v>
      </x:c>
      <x:c r="I10" s="22" t="str">
        <x:v>通常</x:v>
      </x:c>
      <x:c r="J10" s="22" t="str">
        <x:v>HP券提示で割引</x:v>
      </x:c>
      <x:c r="K10" s="22" t="str">
        <x:v>https://zaoski.makino-fruits.com/</x:v>
      </x:c>
    </x:row>
    <x:row r="11" ht="55" customHeight="1">
      <x:c r="A11" s="22" t="str">
        <x:v>R03</x:v>
      </x:c>
      <x:c r="B11" s="22" t="str">
        <x:v>蔵王ライザ</x:v>
      </x:c>
      <x:c r="C11" s="22" t="str">
        <x:v>年式未記載</x:v>
      </x:c>
      <x:c r="D11" s="44" t="n">
        <x:v>3500</x:v>
      </x:c>
      <x:c r="E11" s="44" t="n">
        <x:v>4000</x:v>
      </x:c>
      <x:c r="F11" s="44" t="n">
        <x:v>3000</x:v>
      </x:c>
      <x:c r="G11" s="44"/>
      <x:c r="H11" s="22" t="str">
        <x:v>上下・税要再確認</x:v>
      </x:c>
      <x:c r="I11" s="22" t="str">
        <x:v>4h／1日</x:v>
      </x:c>
      <x:c r="J11" s="22" t="str">
        <x:v>リフト付きプランは除外</x:v>
      </x:c>
      <x:c r="K11" s="22" t="str">
        <x:v>https://www.zaoliza.co.jp/wntr/rentals/</x:v>
      </x:c>
    </x:row>
    <x:row r="12" ht="55" customHeight="1">
      <x:c r="A12" s="22" t="str">
        <x:v>R04</x:v>
      </x:c>
      <x:c r="B12" s="22" t="str">
        <x:v>川場</x:v>
      </x:c>
      <x:c r="C12" s="22" t="str">
        <x:v>版要再確認</x:v>
      </x:c>
      <x:c r="D12" s="44"/>
      <x:c r="E12" s="44" t="n">
        <x:v>5500</x:v>
      </x:c>
      <x:c r="F12" s="44" t="n">
        <x:v>4700</x:v>
      </x:c>
      <x:c r="G12" s="44"/>
      <x:c r="H12" s="22" t="str">
        <x:v>上下</x:v>
      </x:c>
      <x:c r="I12" s="22" t="str">
        <x:v>当日</x:v>
      </x:c>
      <x:c r="J12" s="22" t="str">
        <x:v>年齢区分は高校生以上</x:v>
      </x:c>
      <x:c r="K12" s="22" t="str">
        <x:v>https://www.kawaba.co.jp/rental/</x:v>
      </x:c>
    </x:row>
    <x:row r="13" ht="55" customHeight="1">
      <x:c r="A13" s="22" t="str">
        <x:v>R05</x:v>
      </x:c>
      <x:c r="B13" s="22" t="str">
        <x:v>パルコール嬬恋</x:v>
      </x:c>
      <x:c r="C13" s="22" t="str">
        <x:v>年式未記載</x:v>
      </x:c>
      <x:c r="D13" s="44"/>
      <x:c r="E13" s="44" t="n">
        <x:v>5000</x:v>
      </x:c>
      <x:c r="F13" s="44" t="n">
        <x:v>3500</x:v>
      </x:c>
      <x:c r="G13" s="44"/>
      <x:c r="H13" s="22" t="str">
        <x:v>税込・上下</x:v>
      </x:c>
      <x:c r="I13" s="22" t="str">
        <x:v>1日</x:v>
      </x:c>
      <x:c r="J13" s="22" t="str">
        <x:v>道具込み10000／子供5500</x:v>
      </x:c>
      <x:c r="K13" s="22" t="str">
        <x:v>https://tsumagoiskiresort.life/rentals/</x:v>
      </x:c>
    </x:row>
    <x:row r="14" ht="55" customHeight="1">
      <x:c r="A14" s="22" t="str">
        <x:v>R06</x:v>
      </x:c>
      <x:c r="B14" s="22" t="str">
        <x:v>アルピナ／志賀</x:v>
      </x:c>
      <x:c r="C14" s="22" t="str">
        <x:v>2025/26</x:v>
      </x:c>
      <x:c r="D14" s="44" t="n">
        <x:v>2400</x:v>
      </x:c>
      <x:c r="E14" s="44" t="n">
        <x:v>3000</x:v>
      </x:c>
      <x:c r="F14" s="44" t="n">
        <x:v>1500</x:v>
      </x:c>
      <x:c r="G14" s="44" t="n">
        <x:v>7800</x:v>
      </x:c>
      <x:c r="H14" s="22" t="str">
        <x:v>税込・上下</x:v>
      </x:c>
      <x:c r="I14" s="22" t="str">
        <x:v>通常</x:v>
      </x:c>
      <x:c r="J14" s="22" t="str">
        <x:v>事前10%は掲載条件から計算</x:v>
      </x:c>
      <x:c r="K14" s="22" t="str">
        <x:v>https://www.alpinasports.jp/</x:v>
      </x:c>
    </x:row>
    <x:row r="15" ht="55" customHeight="1">
      <x:c r="A15" s="22" t="str">
        <x:v>R07</x:v>
      </x:c>
      <x:c r="B15" s="22" t="str">
        <x:v>SPICY／白馬</x:v>
      </x:c>
      <x:c r="C15" s="22" t="str">
        <x:v>取得版不一致</x:v>
      </x:c>
      <x:c r="D15" s="44"/>
      <x:c r="E15" s="44" t="n">
        <x:v>5000</x:v>
      </x:c>
      <x:c r="F15" s="44" t="n">
        <x:v>3000</x:v>
      </x:c>
      <x:c r="G15" s="44" t="n">
        <x:v>11000</x:v>
      </x:c>
      <x:c r="H15" s="22" t="str">
        <x:v>上下</x:v>
      </x:c>
      <x:c r="I15" s="22" t="str">
        <x:v>2025/26取得本文</x:v>
      </x:c>
      <x:c r="J15" s="22" t="str">
        <x:v>26/27抜粋と不一致・集計除外</x:v>
      </x:c>
      <x:c r="K15" s="22" t="str">
        <x:v>https://spicy.co.jp/winter/</x:v>
      </x:c>
    </x:row>
    <x:row r="16" ht="55" customHeight="1">
      <x:c r="A16" s="22" t="str">
        <x:v>R08</x:v>
      </x:c>
      <x:c r="B16" s="22" t="str">
        <x:v>YamaSport／ニセコ</x:v>
      </x:c>
      <x:c r="C16" s="22" t="str">
        <x:v>取得版不一致</x:v>
      </x:c>
      <x:c r="D16" s="44"/>
      <x:c r="E16" s="44" t="n">
        <x:v>5440</x:v>
      </x:c>
      <x:c r="F16" s="44" t="n">
        <x:v>3520</x:v>
      </x:c>
      <x:c r="G16" s="44" t="n">
        <x:v>11840</x:v>
      </x:c>
      <x:c r="H16" s="22" t="str">
        <x:v>上下単純合算</x:v>
      </x:c>
      <x:c r="I16" s="22" t="str">
        <x:v>最終取得本文×2</x:v>
      </x:c>
      <x:c r="J16" s="22" t="str">
        <x:v>D10=23520、別版あり・集計除外</x:v>
      </x:c>
      <x:c r="K16" s="22" t="str">
        <x:v>https://www.yamasportniseko.com/ja/pricing</x:v>
      </x:c>
    </x:row>
    <x:row r="17" ht="55" customHeight="1">
      <x:c r="A17" s="22" t="str">
        <x:v>R09</x:v>
      </x:c>
      <x:c r="B17" s="22" t="str">
        <x:v>Rhythm</x:v>
      </x:c>
      <x:c r="C17" s="22" t="str">
        <x:v>版・店舗要再確認</x:v>
      </x:c>
      <x:c r="D17" s="44"/>
      <x:c r="E17" s="44" t="n">
        <x:v>7600</x:v>
      </x:c>
      <x:c r="F17" s="44" t="n">
        <x:v>5200</x:v>
      </x:c>
      <x:c r="G17" s="44" t="n">
        <x:v>15600</x:v>
      </x:c>
      <x:c r="H17" s="22" t="str">
        <x:v>上下単純合算</x:v>
      </x:c>
      <x:c r="I17" s="22" t="str">
        <x:v>上/下各価格×2</x:v>
      </x:c>
      <x:c r="J17" s="22" t="str">
        <x:v>公式セット価格ではない</x:v>
      </x:c>
      <x:c r="K17" s="22" t="str">
        <x:v>https://rhythmjapan.com/winter-rentals-services</x:v>
      </x:c>
    </x:row>
    <x:row r="18" ht="55" customHeight="1">
      <x:c r="A18" s="22" t="str">
        <x:v>R10</x:v>
      </x:c>
      <x:c r="B18" s="22" t="str">
        <x:v>えぼし</x:v>
      </x:c>
      <x:c r="C18" s="22" t="str">
        <x:v>年式未記載</x:v>
      </x:c>
      <x:c r="D18" s="44"/>
      <x:c r="E18" s="44"/>
      <x:c r="F18" s="44"/>
      <x:c r="G18" s="44"/>
      <x:c r="H18" s="22" t="str">
        <x:v>フルセット</x:v>
      </x:c>
      <x:c r="I18" s="22" t="str">
        <x:v>1日</x:v>
      </x:c>
      <x:c r="J18" s="22" t="str">
        <x:v>大人9000／子供6000、ウェア単独不明</x:v>
      </x:c>
      <x:c r="K18" s="22" t="str">
        <x:v>https://eboshi.co.jp/winter/rental/</x:v>
      </x:c>
    </x:row>
    <x:row r="19" ht="55" customHeight="1">
      <x:c r="A19" s="22" t="str">
        <x:v>R11</x:v>
      </x:c>
      <x:c r="B19" s="22" t="str">
        <x:v>アミューズ</x:v>
      </x:c>
      <x:c r="C19" s="22" t="str">
        <x:v>版要再確認</x:v>
      </x:c>
      <x:c r="D19" s="44"/>
      <x:c r="E19" s="44" t="n">
        <x:v>5000</x:v>
      </x:c>
      <x:c r="F19" s="44"/>
      <x:c r="G19" s="44" t="n">
        <x:v>7500</x:v>
      </x:c>
      <x:c r="H19" s="22" t="str">
        <x:v>上下</x:v>
      </x:c>
      <x:c r="I19" s="22" t="str">
        <x:v>通常</x:v>
      </x:c>
      <x:c r="J19" s="22" t="str">
        <x:v>D4=8500、その後+2000/日</x:v>
      </x:c>
      <x:c r="K19" s="22" t="str">
        <x:v>https://amuse-sports.com/rental/item/</x:v>
      </x:c>
    </x:row>
    <x:row r="20" ht="55" customHeight="1">
      <x:c r="A20" s="22" t="str">
        <x:v>R12</x:v>
      </x:c>
      <x:c r="B20" s="22" t="str">
        <x:v>裏磐梯</x:v>
      </x:c>
      <x:c r="C20" s="22" t="str">
        <x:v>年式未記載</x:v>
      </x:c>
      <x:c r="D20" s="44"/>
      <x:c r="E20" s="44" t="n">
        <x:v>3000</x:v>
      </x:c>
      <x:c r="F20" s="44" t="n">
        <x:v>2000</x:v>
      </x:c>
      <x:c r="G20" s="44"/>
      <x:c r="H20" s="22" t="str">
        <x:v>上下</x:v>
      </x:c>
      <x:c r="I20" s="22" t="str">
        <x:v>期間/税要確認</x:v>
      </x:c>
      <x:c r="J20" s="22" t="str">
        <x:v>子供は小学生まで</x:v>
      </x:c>
      <x:c r="K20" s="22" t="str">
        <x:v>https://www.urabandai-ski.jp/facility/rental/</x:v>
      </x:c>
    </x:row>
    <x:row r="21" ht="55" customHeight="1">
      <x:c r="A21" s="22" t="str">
        <x:v>R13</x:v>
      </x:c>
      <x:c r="B21" s="22" t="str">
        <x:v>スプリングバレー</x:v>
      </x:c>
      <x:c r="C21" s="22" t="str">
        <x:v>数値未検証</x:v>
      </x:c>
      <x:c r="D21" s="44"/>
      <x:c r="E21" s="44"/>
      <x:c r="F21" s="44"/>
      <x:c r="G21" s="44"/>
      <x:c r="H21" s="22" t="str">
        <x:v>取得不足</x:v>
      </x:c>
      <x:c r="I21" s="22" t="str">
        <x:v>除外</x:v>
      </x:c>
      <x:c r="J21" s="22" t="str">
        <x:v>検索抜粋は料金確定に使わない</x:v>
      </x:c>
      <x:c r="K21" s="22" t="str">
        <x:v>https://www.springvalley.co.jp/winter/rental_shop/rental</x:v>
      </x:c>
    </x:row>
    <x:row r="22" ht="55" customHeight="1">
      <x:c r="A22" s="22" t="str">
        <x:v>R14</x:v>
      </x:c>
      <x:c r="B22" s="22" t="str">
        <x:v>網張</x:v>
      </x:c>
      <x:c r="C22" s="22" t="str">
        <x:v>数値未検証</x:v>
      </x:c>
      <x:c r="D22" s="44"/>
      <x:c r="E22" s="44"/>
      <x:c r="F22" s="44"/>
      <x:c r="G22" s="44"/>
      <x:c r="H22" s="22" t="str">
        <x:v>取得不足</x:v>
      </x:c>
      <x:c r="I22" s="22" t="str">
        <x:v>除外</x:v>
      </x:c>
      <x:c r="J22" s="22" t="str">
        <x:v>本文旧版・数値比較除外</x:v>
      </x:c>
      <x:c r="K22" s="22" t="str">
        <x:v>https://qkamura.or.jp/iwate/ski/</x:v>
      </x:c>
    </x:row>
    <x:row r="23" ht="22" customHeight="1">
      <x:c r="A23" s="4"/>
      <x:c r="B23" s="4"/>
      <x:c r="C23" s="4"/>
      <x:c r="D23" s="4"/>
      <x:c r="E23" s="4"/>
      <x:c r="F23" s="4"/>
      <x:c r="G23" s="4"/>
      <x:c r="H23" s="4"/>
      <x:c r="I23" s="4"/>
      <x:c r="J23" s="4"/>
      <x:c r="K23" s="4"/>
    </x:row>
    <x:row r="24" ht="22" customHeight="1">
      <x:c r="A24" s="4"/>
      <x:c r="B24" s="4"/>
      <x:c r="C24" s="4"/>
      <x:c r="D24" s="4"/>
      <x:c r="E24" s="4"/>
      <x:c r="F24" s="4"/>
      <x:c r="G24" s="4"/>
      <x:c r="H24" s="4"/>
      <x:c r="I24" s="4"/>
      <x:c r="J24" s="4"/>
      <x:c r="K24" s="4"/>
    </x:row>
    <x:row r="25" ht="22" customHeight="1">
      <x:c r="A25" s="4"/>
      <x:c r="B25" s="4"/>
      <x:c r="C25" s="4"/>
      <x:c r="D25" s="4"/>
      <x:c r="E25" s="4"/>
      <x:c r="F25" s="4"/>
      <x:c r="G25" s="4"/>
      <x:c r="H25" s="4"/>
      <x:c r="I25" s="4"/>
      <x:c r="J25" s="4"/>
      <x:c r="K25" s="4"/>
    </x:row>
    <x:row r="26" ht="22" customHeight="1">
      <x:c r="A26" s="4"/>
      <x:c r="B26" s="4"/>
      <x:c r="C26" s="4"/>
      <x:c r="D26" s="4"/>
      <x:c r="E26" s="4"/>
      <x:c r="F26" s="4"/>
      <x:c r="G26" s="4"/>
      <x:c r="H26" s="4"/>
      <x:c r="I26" s="4"/>
      <x:c r="J26" s="4"/>
      <x:c r="K26" s="4"/>
    </x:row>
  </x:sheetData>
  <x:mergeCells>
    <x:mergeCell ref="A1:K1"/>
    <x:mergeCell ref="A2:K3"/>
  </x:mergeCells>
  <x:pageMargins left="0.7" right="0.7" top="0.75" bottom="0.75" header="0.3" footer="0.3"/>
</x:worksheet>
</file>

<file path=xl/worksheets/sheet5.xml><?xml version="1.0" encoding="utf-8"?>
<x:worksheet xmlns:x="http://schemas.openxmlformats.org/spreadsheetml/2006/main">
  <x:sheetFormatPr defaultRowHeight="15"/>
  <x:cols>
    <x:col min="1" max="1" width="15" hidden="0" customWidth="1"/>
    <x:col min="2" max="2" width="15" hidden="0" customWidth="1"/>
    <x:col min="3" max="3" width="15" hidden="0" customWidth="1"/>
    <x:col min="4" max="4" width="15" hidden="0" customWidth="1"/>
    <x:col min="5" max="5" width="15" hidden="0" customWidth="1"/>
    <x:col min="6" max="6" width="15" hidden="0" customWidth="1"/>
    <x:col min="7" max="7" width="34" hidden="0" customWidth="1"/>
  </x:cols>
  <x:sheetData>
    <x:row r="1" ht="34" customHeight="1">
      <x:c r="A1" s="7" t="str">
        <x:v>PRICE SENSITIVITY | 値下げと必要件数</x:v>
      </x:c>
      <x:c r="B1" s="7"/>
      <x:c r="C1" s="7"/>
      <x:c r="D1" s="7"/>
      <x:c r="E1" s="7"/>
      <x:c r="F1" s="7"/>
      <x:c r="G1" s="7"/>
    </x:row>
    <x:row r="2" ht="22" customHeight="1">
      <x:c r="A2" s="12" t="str">
        <x:v>既存明細の観測例6,000円/4,000円を比較基準に置いた感度分析。全期間の平均や因果効果ではない。原価500/1000/1500円は仮定。</x:v>
      </x:c>
      <x:c r="B2" s="12"/>
      <x:c r="C2" s="12"/>
      <x:c r="D2" s="12"/>
      <x:c r="E2" s="12"/>
      <x:c r="F2" s="12"/>
      <x:c r="G2" s="12"/>
    </x:row>
    <x:row r="3" ht="22" customHeight="1">
      <x:c r="A3" s="12"/>
      <x:c r="B3" s="12"/>
      <x:c r="C3" s="12"/>
      <x:c r="D3" s="12"/>
      <x:c r="E3" s="12"/>
      <x:c r="F3" s="12"/>
      <x:c r="G3" s="12"/>
    </x:row>
    <x:row r="4" ht="22" customHeight="1">
      <x:c r="A4" s="4" t="str">
        <x:v>旧大人1日観測例</x:v>
      </x:c>
      <x:c r="B4" s="47" t="n">
        <x:v>6000</x:v>
      </x:c>
      <x:c r="C4" s="4"/>
      <x:c r="D4" s="4"/>
      <x:c r="E4" s="4"/>
      <x:c r="F4" s="4"/>
      <x:c r="G4" s="4"/>
    </x:row>
    <x:row r="5" ht="22" customHeight="1">
      <x:c r="A5" s="4" t="str">
        <x:v>旧子供1日観測例</x:v>
      </x:c>
      <x:c r="B5" s="47" t="n">
        <x:v>4000</x:v>
      </x:c>
      <x:c r="C5" s="4"/>
      <x:c r="D5" s="4"/>
      <x:c r="E5" s="4"/>
      <x:c r="F5" s="4"/>
      <x:c r="G5" s="4"/>
    </x:row>
    <x:row r="6" ht="22" customHeight="1">
      <x:c r="A6" s="4"/>
      <x:c r="B6" s="4"/>
      <x:c r="C6" s="4"/>
      <x:c r="D6" s="4"/>
      <x:c r="E6" s="4"/>
      <x:c r="F6" s="4"/>
      <x:c r="G6" s="4"/>
    </x:row>
    <x:row r="7" ht="22" customHeight="1">
      <x:c r="A7" s="4"/>
      <x:c r="B7" s="4"/>
      <x:c r="C7" s="4"/>
      <x:c r="D7" s="4"/>
      <x:c r="E7" s="4"/>
      <x:c r="F7" s="4"/>
      <x:c r="G7" s="4"/>
    </x:row>
    <x:row r="8" ht="38" customHeight="1">
      <x:c r="A8" s="27" t="str">
        <x:v>仮の変動費/回</x:v>
      </x:c>
      <x:c r="B8" s="27" t="str">
        <x:v>旧成人の利益</x:v>
      </x:c>
      <x:c r="C8" s="27" t="str">
        <x:v>新 単独早割利益</x:v>
      </x:c>
      <x:c r="D8" s="27" t="str">
        <x:v>必要件数増加率</x:v>
      </x:c>
      <x:c r="E8" s="27" t="str">
        <x:v>新 SET追加早割利益</x:v>
      </x:c>
      <x:c r="F8" s="27" t="str">
        <x:v>必要件数増加率</x:v>
      </x:c>
      <x:c r="G8" s="27" t="str">
        <x:v>注記</x:v>
      </x:c>
    </x:row>
    <x:row r="9" ht="22" customHeight="1">
      <x:c r="A9" s="47" t="n">
        <x:v>0</x:v>
      </x:c>
      <x:c r="B9" s="33" t="n">
        <x:f>$B$4-A9</x:f>
        <x:v>6000</x:v>
      </x:c>
      <x:c r="C9" s="33" t="n">
        <x:f>'ウェア料金'!D11-A9</x:f>
        <x:v>4750</x:v>
      </x:c>
      <x:c r="D9" s="50" t="n">
        <x:f>B9/C9-1</x:f>
        <x:v>0.26315789473684204</x:v>
      </x:c>
      <x:c r="E9" s="33" t="n">
        <x:f>'ウェア料金'!E11-A9</x:f>
        <x:v>3800</x:v>
      </x:c>
      <x:c r="F9" s="50" t="n">
        <x:f>B9/E9-1</x:f>
        <x:v>0.5789473684210527</x:v>
      </x:c>
      <x:c r="G9" s="22" t="str">
        <x:v>変動費は入力仮説。固定費・道具側の増収は別。</x:v>
      </x:c>
    </x:row>
    <x:row r="10" ht="22" customHeight="1">
      <x:c r="A10" s="47" t="n">
        <x:v>500</x:v>
      </x:c>
      <x:c r="B10" s="33" t="n">
        <x:f>$B$4-A10</x:f>
        <x:v>5500</x:v>
      </x:c>
      <x:c r="C10" s="33" t="n">
        <x:f>'ウェア料金'!D11-A10</x:f>
        <x:v>4250</x:v>
      </x:c>
      <x:c r="D10" s="50" t="n">
        <x:f>B10/C10-1</x:f>
        <x:v>0.2941176470588236</x:v>
      </x:c>
      <x:c r="E10" s="33" t="n">
        <x:f>'ウェア料金'!E11-A10</x:f>
        <x:v>3300</x:v>
      </x:c>
      <x:c r="F10" s="50" t="n">
        <x:f>B10/E10-1</x:f>
        <x:v>0.6666666666666667</x:v>
      </x:c>
      <x:c r="G10" s="22" t="str">
        <x:v>変動費は入力仮説。固定費・道具側の増収は別。</x:v>
      </x:c>
    </x:row>
    <x:row r="11" ht="22" customHeight="1">
      <x:c r="A11" s="47" t="n">
        <x:v>1000</x:v>
      </x:c>
      <x:c r="B11" s="33" t="n">
        <x:f>$B$4-A11</x:f>
        <x:v>5000</x:v>
      </x:c>
      <x:c r="C11" s="33" t="n">
        <x:f>'ウェア料金'!D11-A11</x:f>
        <x:v>3750</x:v>
      </x:c>
      <x:c r="D11" s="50" t="n">
        <x:f>B11/C11-1</x:f>
        <x:v>0.33333333333333326</x:v>
      </x:c>
      <x:c r="E11" s="33" t="n">
        <x:f>'ウェア料金'!E11-A11</x:f>
        <x:v>2800</x:v>
      </x:c>
      <x:c r="F11" s="50" t="n">
        <x:f>B11/E11-1</x:f>
        <x:v>0.7857142857142858</x:v>
      </x:c>
      <x:c r="G11" s="22" t="str">
        <x:v>変動費は入力仮説。固定費・道具側の増収は別。</x:v>
      </x:c>
    </x:row>
    <x:row r="12" ht="22" customHeight="1">
      <x:c r="A12" s="47" t="n">
        <x:v>1500</x:v>
      </x:c>
      <x:c r="B12" s="33" t="n">
        <x:f>$B$4-A12</x:f>
        <x:v>4500</x:v>
      </x:c>
      <x:c r="C12" s="33" t="n">
        <x:f>'ウェア料金'!D11-A12</x:f>
        <x:v>3250</x:v>
      </x:c>
      <x:c r="D12" s="50" t="n">
        <x:f>B12/C12-1</x:f>
        <x:v>0.3846153846153846</x:v>
      </x:c>
      <x:c r="E12" s="33" t="n">
        <x:f>'ウェア料金'!E11-A12</x:f>
        <x:v>2300</x:v>
      </x:c>
      <x:c r="F12" s="50" t="n">
        <x:f>B12/E12-1</x:f>
        <x:v>0.9565217391304348</x:v>
      </x:c>
      <x:c r="G12" s="22" t="str">
        <x:v>変動費は入力仮説。固定費・道具側の増収は別。</x:v>
      </x:c>
    </x:row>
    <x:row r="13" ht="22" customHeight="1">
      <x:c r="A13" s="4"/>
      <x:c r="B13" s="4"/>
      <x:c r="C13" s="4"/>
      <x:c r="D13" s="4"/>
      <x:c r="E13" s="4"/>
      <x:c r="F13" s="4"/>
      <x:c r="G13" s="4"/>
    </x:row>
    <x:row r="14" ht="22" customHeight="1">
      <x:c r="A14" s="4"/>
      <x:c r="B14" s="4"/>
      <x:c r="C14" s="4"/>
      <x:c r="D14" s="4"/>
      <x:c r="E14" s="4"/>
      <x:c r="F14" s="4"/>
      <x:c r="G14" s="4"/>
    </x:row>
    <x:row r="15" ht="22" customHeight="1">
      <x:c r="A15" s="41" t="str">
        <x:v>必要件数比=(旧価格−変動費)/(新価格−変動費)。道具予約の獲得やウェア装着率が増えなければ、単価を下げるだけで利益は増えない。洗浄費・乾燥時間・サイズ別欠品・予約拒否を計測し、将来の新価格版へ反映する。</x:v>
      </x:c>
      <x:c r="B15" s="41"/>
      <x:c r="C15" s="41"/>
      <x:c r="D15" s="41"/>
      <x:c r="E15" s="41"/>
      <x:c r="F15" s="41"/>
      <x:c r="G15" s="41"/>
    </x:row>
    <x:row r="16" ht="22" customHeight="1">
      <x:c r="A16" s="41"/>
      <x:c r="B16" s="41"/>
      <x:c r="C16" s="41"/>
      <x:c r="D16" s="41"/>
      <x:c r="E16" s="41"/>
      <x:c r="F16" s="41"/>
      <x:c r="G16" s="41"/>
    </x:row>
    <x:row r="17" ht="22" customHeight="1">
      <x:c r="A17" s="41"/>
      <x:c r="B17" s="41"/>
      <x:c r="C17" s="41"/>
      <x:c r="D17" s="41"/>
      <x:c r="E17" s="41"/>
      <x:c r="F17" s="41"/>
      <x:c r="G17" s="41"/>
    </x:row>
    <x:row r="18" ht="22" customHeight="1">
      <x:c r="A18" s="4"/>
      <x:c r="B18" s="4"/>
      <x:c r="C18" s="4"/>
      <x:c r="D18" s="4"/>
      <x:c r="E18" s="4"/>
      <x:c r="F18" s="4"/>
      <x:c r="G18" s="4"/>
    </x:row>
    <x:row r="19" ht="22" customHeight="1">
      <x:c r="A19" s="4"/>
      <x:c r="B19" s="4"/>
      <x:c r="C19" s="4"/>
      <x:c r="D19" s="4"/>
      <x:c r="E19" s="4"/>
      <x:c r="F19" s="4"/>
      <x:c r="G19" s="4"/>
    </x:row>
    <x:row r="20" ht="22" customHeight="1">
      <x:c r="A20" s="4"/>
      <x:c r="B20" s="4"/>
      <x:c r="C20" s="4"/>
      <x:c r="D20" s="4"/>
      <x:c r="E20" s="4"/>
      <x:c r="F20" s="4"/>
      <x:c r="G20" s="4"/>
    </x:row>
    <x:row r="21" ht="22" customHeight="1">
      <x:c r="A21" s="4"/>
      <x:c r="B21" s="4"/>
      <x:c r="C21" s="4"/>
      <x:c r="D21" s="4"/>
      <x:c r="E21" s="4"/>
      <x:c r="F21" s="4"/>
      <x:c r="G21" s="4"/>
    </x:row>
    <x:row r="22" ht="22" customHeight="1">
      <x:c r="A22" s="4"/>
      <x:c r="B22" s="4"/>
      <x:c r="C22" s="4"/>
      <x:c r="D22" s="4"/>
      <x:c r="E22" s="4"/>
      <x:c r="F22" s="4"/>
      <x:c r="G22" s="4"/>
    </x:row>
    <x:row r="23" ht="22" customHeight="1">
      <x:c r="A23" s="4"/>
      <x:c r="B23" s="4"/>
      <x:c r="C23" s="4"/>
      <x:c r="D23" s="4"/>
      <x:c r="E23" s="4"/>
      <x:c r="F23" s="4"/>
      <x:c r="G23" s="4"/>
    </x:row>
    <x:row r="24" ht="22" customHeight="1">
      <x:c r="A24" s="4"/>
      <x:c r="B24" s="4"/>
      <x:c r="C24" s="4"/>
      <x:c r="D24" s="4"/>
      <x:c r="E24" s="4"/>
      <x:c r="F24" s="4"/>
      <x:c r="G24" s="4"/>
    </x:row>
    <x:row r="25" ht="22" customHeight="1">
      <x:c r="A25" s="4"/>
      <x:c r="B25" s="4"/>
      <x:c r="C25" s="4"/>
      <x:c r="D25" s="4"/>
      <x:c r="E25" s="4"/>
      <x:c r="F25" s="4"/>
      <x:c r="G25" s="4"/>
    </x:row>
    <x:row r="26" ht="22" customHeight="1">
      <x:c r="A26" s="4"/>
      <x:c r="B26" s="4"/>
      <x:c r="C26" s="4"/>
      <x:c r="D26" s="4"/>
      <x:c r="E26" s="4"/>
      <x:c r="F26" s="4"/>
      <x:c r="G26" s="4"/>
    </x:row>
    <x:row r="27" ht="22" customHeight="1">
      <x:c r="A27" s="4"/>
      <x:c r="B27" s="4"/>
      <x:c r="C27" s="4"/>
      <x:c r="D27" s="4"/>
      <x:c r="E27" s="4"/>
      <x:c r="F27" s="4"/>
      <x:c r="G27" s="4"/>
    </x:row>
    <x:row r="28" ht="22" customHeight="1">
      <x:c r="A28" s="4"/>
      <x:c r="B28" s="4"/>
      <x:c r="C28" s="4"/>
      <x:c r="D28" s="4"/>
      <x:c r="E28" s="4"/>
      <x:c r="F28" s="4"/>
      <x:c r="G28" s="4"/>
    </x:row>
    <x:row r="29" ht="22" customHeight="1">
      <x:c r="A29" s="4"/>
      <x:c r="B29" s="4"/>
      <x:c r="C29" s="4"/>
      <x:c r="D29" s="4"/>
      <x:c r="E29" s="4"/>
      <x:c r="F29" s="4"/>
      <x:c r="G29" s="4"/>
    </x:row>
    <x:row r="30" ht="22" customHeight="1">
      <x:c r="A30" s="4"/>
      <x:c r="B30" s="4"/>
      <x:c r="C30" s="4"/>
      <x:c r="D30" s="4"/>
      <x:c r="E30" s="4"/>
      <x:c r="F30" s="4"/>
      <x:c r="G30" s="4"/>
    </x:row>
  </x:sheetData>
  <x:mergeCells>
    <x:mergeCell ref="A1:G1"/>
    <x:mergeCell ref="A2:G3"/>
    <x:mergeCell ref="A15:G17"/>
  </x:mergeCells>
  <x:pageMargins left="0.7" right="0.7" top="0.75" bottom="0.75" header="0.3" footer="0.3"/>
</x:worksheet>
</file>

<file path=xl/worksheets/sheet6.xml><?xml version="1.0" encoding="utf-8"?>
<x:worksheet xmlns:x="http://schemas.openxmlformats.org/spreadsheetml/2006/main">
  <x:sheetFormatPr defaultRowHeight="15"/>
  <x:cols>
    <x:col min="1" max="1" width="44" hidden="0" customWidth="1"/>
    <x:col min="2" max="2" width="20" hidden="0" customWidth="1"/>
    <x:col min="3" max="3" width="20"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 min="14" max="14" width="15" hidden="0" customWidth="1"/>
    <x:col min="15" max="15" width="15" hidden="0" customWidth="1"/>
  </x:cols>
  <x:sheetData>
    <x:row r="1" ht="34" customHeight="1">
      <x:c r="A1" s="7" t="str">
        <x:v>既存道具価格 | 変更しない入力</x:v>
      </x:c>
      <x:c r="B1" s="7"/>
      <x:c r="C1" s="7"/>
      <x:c r="D1" s="7"/>
      <x:c r="E1" s="7"/>
      <x:c r="F1" s="7"/>
      <x:c r="G1" s="7"/>
      <x:c r="H1" s="7"/>
      <x:c r="I1" s="7"/>
      <x:c r="J1" s="7"/>
      <x:c r="K1" s="7"/>
      <x:c r="L1" s="7"/>
      <x:c r="M1" s="7"/>
      <x:c r="N1" s="7"/>
      <x:c r="O1" s="7"/>
    </x:row>
    <x:row r="2" ht="22" customHeight="1">
      <x:c r="A2" s="12" t="str">
        <x:v>添付 bootstrap v0.4由来 JSONの18商品216値。元の税区分は未確定。今回のウェア提案で上書きしない。</x:v>
      </x:c>
      <x:c r="B2" s="12"/>
      <x:c r="C2" s="12"/>
      <x:c r="D2" s="12"/>
      <x:c r="E2" s="12"/>
      <x:c r="F2" s="12"/>
      <x:c r="G2" s="12"/>
      <x:c r="H2" s="12"/>
      <x:c r="I2" s="12"/>
      <x:c r="J2" s="12"/>
      <x:c r="K2" s="12"/>
      <x:c r="L2" s="12"/>
      <x:c r="M2" s="12"/>
      <x:c r="N2" s="12"/>
      <x:c r="O2" s="12"/>
    </x:row>
    <x:row r="3" ht="22" customHeight="1">
      <x:c r="A3" s="12"/>
      <x:c r="B3" s="12"/>
      <x:c r="C3" s="12"/>
      <x:c r="D3" s="12"/>
      <x:c r="E3" s="12"/>
      <x:c r="F3" s="12"/>
      <x:c r="G3" s="12"/>
      <x:c r="H3" s="12"/>
      <x:c r="I3" s="12"/>
      <x:c r="J3" s="12"/>
      <x:c r="K3" s="12"/>
      <x:c r="L3" s="12"/>
      <x:c r="M3" s="12"/>
      <x:c r="N3" s="12"/>
      <x:c r="O3" s="12"/>
    </x:row>
    <x:row r="4" ht="22" customHeight="1">
      <x:c r="A4" s="4"/>
      <x:c r="B4" s="4"/>
      <x:c r="C4" s="4"/>
      <x:c r="D4" s="4"/>
      <x:c r="E4" s="4"/>
      <x:c r="F4" s="4"/>
      <x:c r="G4" s="4"/>
      <x:c r="H4" s="4"/>
      <x:c r="I4" s="4"/>
      <x:c r="J4" s="4"/>
      <x:c r="K4" s="4"/>
      <x:c r="L4" s="4"/>
      <x:c r="M4" s="4"/>
      <x:c r="N4" s="4"/>
      <x:c r="O4" s="4"/>
    </x:row>
    <x:row r="5" ht="22" customHeight="1">
      <x:c r="A5" s="4"/>
      <x:c r="B5" s="4"/>
      <x:c r="C5" s="4"/>
      <x:c r="D5" s="4"/>
      <x:c r="E5" s="4"/>
      <x:c r="F5" s="4"/>
      <x:c r="G5" s="4"/>
      <x:c r="H5" s="4"/>
      <x:c r="I5" s="4"/>
      <x:c r="J5" s="4"/>
      <x:c r="K5" s="4"/>
      <x:c r="L5" s="4"/>
      <x:c r="M5" s="4"/>
      <x:c r="N5" s="4"/>
      <x:c r="O5" s="4"/>
    </x:row>
    <x:row r="6" ht="22" customHeight="1">
      <x:c r="A6" s="4"/>
      <x:c r="B6" s="4"/>
      <x:c r="C6" s="4"/>
      <x:c r="D6" s="4"/>
      <x:c r="E6" s="4"/>
      <x:c r="F6" s="4"/>
      <x:c r="G6" s="4"/>
      <x:c r="H6" s="4"/>
      <x:c r="I6" s="4"/>
      <x:c r="J6" s="4"/>
      <x:c r="K6" s="4"/>
      <x:c r="L6" s="4"/>
      <x:c r="M6" s="4"/>
      <x:c r="N6" s="4"/>
      <x:c r="O6" s="4"/>
    </x:row>
    <x:row r="7" ht="22" customHeight="1">
      <x:c r="A7" s="4"/>
      <x:c r="B7" s="4"/>
      <x:c r="C7" s="4"/>
      <x:c r="D7" s="4"/>
      <x:c r="E7" s="4"/>
      <x:c r="F7" s="4"/>
      <x:c r="G7" s="4"/>
      <x:c r="H7" s="4"/>
      <x:c r="I7" s="4"/>
      <x:c r="J7" s="4"/>
      <x:c r="K7" s="4"/>
      <x:c r="L7" s="4"/>
      <x:c r="M7" s="4"/>
      <x:c r="N7" s="4"/>
      <x:c r="O7" s="4"/>
    </x:row>
    <x:row r="8" ht="38" customHeight="1">
      <x:c r="A8" s="27" t="str">
        <x:v>product_key</x:v>
      </x:c>
      <x:c r="B8" s="27" t="str">
        <x:v>競技</x:v>
      </x:c>
      <x:c r="C8" s="27" t="str">
        <x:v>区分</x:v>
      </x:c>
      <x:c r="D8" s="27" t="str">
        <x:v>午前半日</x:v>
      </x:c>
      <x:c r="E8" s="27" t="str">
        <x:v>午後半日</x:v>
      </x:c>
      <x:c r="F8" s="27" t="str">
        <x:v>1日</x:v>
      </x:c>
      <x:c r="G8" s="27" t="str">
        <x:v>2日</x:v>
      </x:c>
      <x:c r="H8" s="27" t="str">
        <x:v>3日</x:v>
      </x:c>
      <x:c r="I8" s="27" t="str">
        <x:v>4日</x:v>
      </x:c>
      <x:c r="J8" s="27" t="str">
        <x:v>5日</x:v>
      </x:c>
      <x:c r="K8" s="27" t="str">
        <x:v>6日</x:v>
      </x:c>
      <x:c r="L8" s="27" t="str">
        <x:v>7日</x:v>
      </x:c>
      <x:c r="M8" s="27" t="str">
        <x:v>8日</x:v>
      </x:c>
      <x:c r="N8" s="27" t="str">
        <x:v>9日</x:v>
      </x:c>
      <x:c r="O8" s="27" t="str">
        <x:v>10日</x:v>
      </x:c>
    </x:row>
    <x:row r="9" ht="22" customHeight="1">
      <x:c r="A9" s="4" t="str">
        <x:v>SKI_SET_ADULT_REGULAR</x:v>
      </x:c>
      <x:c r="B9" s="4" t="str">
        <x:v>SKI</x:v>
      </x:c>
      <x:c r="C9" s="4" t="str">
        <x:v>ADULT/REGULAR</x:v>
      </x:c>
      <x:c r="D9" s="33" t="n">
        <x:v>5600</x:v>
      </x:c>
      <x:c r="E9" s="33" t="n">
        <x:v>5600</x:v>
      </x:c>
      <x:c r="F9" s="33" t="n">
        <x:v>7500</x:v>
      </x:c>
      <x:c r="G9" s="33" t="n">
        <x:v>13800</x:v>
      </x:c>
      <x:c r="H9" s="33" t="n">
        <x:v>19600</x:v>
      </x:c>
      <x:c r="I9" s="33" t="n">
        <x:v>24900</x:v>
      </x:c>
      <x:c r="J9" s="33" t="n">
        <x:v>29600</x:v>
      </x:c>
      <x:c r="K9" s="33" t="n">
        <x:v>34200</x:v>
      </x:c>
      <x:c r="L9" s="33" t="n">
        <x:v>38300</x:v>
      </x:c>
      <x:c r="M9" s="33" t="n">
        <x:v>42000</x:v>
      </x:c>
      <x:c r="N9" s="33" t="n">
        <x:v>45200</x:v>
      </x:c>
      <x:c r="O9" s="33" t="n">
        <x:v>48000</x:v>
      </x:c>
    </x:row>
    <x:row r="10" ht="22" customHeight="1">
      <x:c r="A10" s="4" t="str">
        <x:v>SKI_SET_ADULT_PREMIUM</x:v>
      </x:c>
      <x:c r="B10" s="4" t="str">
        <x:v>SKI</x:v>
      </x:c>
      <x:c r="C10" s="4" t="str">
        <x:v>ADULT/PREMIUM</x:v>
      </x:c>
      <x:c r="D10" s="33" t="n">
        <x:v>6800</x:v>
      </x:c>
      <x:c r="E10" s="33" t="n">
        <x:v>6800</x:v>
      </x:c>
      <x:c r="F10" s="33" t="n">
        <x:v>9000</x:v>
      </x:c>
      <x:c r="G10" s="33" t="n">
        <x:v>16600</x:v>
      </x:c>
      <x:c r="H10" s="33" t="n">
        <x:v>23500</x:v>
      </x:c>
      <x:c r="I10" s="33" t="n">
        <x:v>29900</x:v>
      </x:c>
      <x:c r="J10" s="33" t="n">
        <x:v>35600</x:v>
      </x:c>
      <x:c r="K10" s="33" t="n">
        <x:v>41000</x:v>
      </x:c>
      <x:c r="L10" s="33" t="n">
        <x:v>46000</x:v>
      </x:c>
      <x:c r="M10" s="33" t="n">
        <x:v>50400</x:v>
      </x:c>
      <x:c r="N10" s="33" t="n">
        <x:v>54300</x:v>
      </x:c>
      <x:c r="O10" s="33" t="n">
        <x:v>57600</x:v>
      </x:c>
    </x:row>
    <x:row r="11" ht="22" customHeight="1">
      <x:c r="A11" s="4" t="str">
        <x:v>SKI_SET_KIDS_REGULAR</x:v>
      </x:c>
      <x:c r="B11" s="4" t="str">
        <x:v>SKI</x:v>
      </x:c>
      <x:c r="C11" s="4" t="str">
        <x:v>KIDS/REGULAR</x:v>
      </x:c>
      <x:c r="D11" s="33" t="n">
        <x:v>3000</x:v>
      </x:c>
      <x:c r="E11" s="33" t="n">
        <x:v>3000</x:v>
      </x:c>
      <x:c r="F11" s="33" t="n">
        <x:v>4000</x:v>
      </x:c>
      <x:c r="G11" s="33" t="n">
        <x:v>7400</x:v>
      </x:c>
      <x:c r="H11" s="33" t="n">
        <x:v>10400</x:v>
      </x:c>
      <x:c r="I11" s="33" t="n">
        <x:v>13300</x:v>
      </x:c>
      <x:c r="J11" s="33" t="n">
        <x:v>15800</x:v>
      </x:c>
      <x:c r="K11" s="33" t="n">
        <x:v>18200</x:v>
      </x:c>
      <x:c r="L11" s="33" t="n">
        <x:v>20400</x:v>
      </x:c>
      <x:c r="M11" s="33" t="n">
        <x:v>22400</x:v>
      </x:c>
      <x:c r="N11" s="33" t="n">
        <x:v>24100</x:v>
      </x:c>
      <x:c r="O11" s="33" t="n">
        <x:v>25600</x:v>
      </x:c>
    </x:row>
    <x:row r="12" ht="22" customHeight="1">
      <x:c r="A12" s="4" t="str">
        <x:v>SKI_EQUIPMENT_ONLY_ADULT_REGULAR</x:v>
      </x:c>
      <x:c r="B12" s="4" t="str">
        <x:v>SKI</x:v>
      </x:c>
      <x:c r="C12" s="4" t="str">
        <x:v>ADULT/REGULAR</x:v>
      </x:c>
      <x:c r="D12" s="33" t="n">
        <x:v>4500</x:v>
      </x:c>
      <x:c r="E12" s="33" t="n">
        <x:v>4500</x:v>
      </x:c>
      <x:c r="F12" s="33" t="n">
        <x:v>6000</x:v>
      </x:c>
      <x:c r="G12" s="33" t="n">
        <x:v>11000</x:v>
      </x:c>
      <x:c r="H12" s="33" t="n">
        <x:v>15700</x:v>
      </x:c>
      <x:c r="I12" s="33" t="n">
        <x:v>19900</x:v>
      </x:c>
      <x:c r="J12" s="33" t="n">
        <x:v>23700</x:v>
      </x:c>
      <x:c r="K12" s="33" t="n">
        <x:v>27400</x:v>
      </x:c>
      <x:c r="L12" s="33" t="n">
        <x:v>30700</x:v>
      </x:c>
      <x:c r="M12" s="33" t="n">
        <x:v>33600</x:v>
      </x:c>
      <x:c r="N12" s="33" t="n">
        <x:v>36200</x:v>
      </x:c>
      <x:c r="O12" s="33" t="n">
        <x:v>38400</x:v>
      </x:c>
    </x:row>
    <x:row r="13" ht="22" customHeight="1">
      <x:c r="A13" s="4" t="str">
        <x:v>SKI_EQUIPMENT_ONLY_ADULT_PREMIUM</x:v>
      </x:c>
      <x:c r="B13" s="4" t="str">
        <x:v>SKI</x:v>
      </x:c>
      <x:c r="C13" s="4" t="str">
        <x:v>ADULT/PREMIUM</x:v>
      </x:c>
      <x:c r="D13" s="33" t="n">
        <x:v>5600</x:v>
      </x:c>
      <x:c r="E13" s="33" t="n">
        <x:v>5600</x:v>
      </x:c>
      <x:c r="F13" s="33" t="n">
        <x:v>7500</x:v>
      </x:c>
      <x:c r="G13" s="33" t="n">
        <x:v>13800</x:v>
      </x:c>
      <x:c r="H13" s="33" t="n">
        <x:v>19600</x:v>
      </x:c>
      <x:c r="I13" s="33" t="n">
        <x:v>24900</x:v>
      </x:c>
      <x:c r="J13" s="33" t="n">
        <x:v>29600</x:v>
      </x:c>
      <x:c r="K13" s="33" t="n">
        <x:v>34200</x:v>
      </x:c>
      <x:c r="L13" s="33" t="n">
        <x:v>38300</x:v>
      </x:c>
      <x:c r="M13" s="33" t="n">
        <x:v>42000</x:v>
      </x:c>
      <x:c r="N13" s="33" t="n">
        <x:v>45200</x:v>
      </x:c>
      <x:c r="O13" s="33" t="n">
        <x:v>48000</x:v>
      </x:c>
    </x:row>
    <x:row r="14" ht="22" customHeight="1">
      <x:c r="A14" s="4" t="str">
        <x:v>SKI_EQUIPMENT_ONLY_KIDS_REGULAR</x:v>
      </x:c>
      <x:c r="B14" s="4" t="str">
        <x:v>SKI</x:v>
      </x:c>
      <x:c r="C14" s="4" t="str">
        <x:v>KIDS/REGULAR</x:v>
      </x:c>
      <x:c r="D14" s="33" t="n">
        <x:v>2300</x:v>
      </x:c>
      <x:c r="E14" s="33" t="n">
        <x:v>2300</x:v>
      </x:c>
      <x:c r="F14" s="33" t="n">
        <x:v>3000</x:v>
      </x:c>
      <x:c r="G14" s="33" t="n">
        <x:v>5500</x:v>
      </x:c>
      <x:c r="H14" s="33" t="n">
        <x:v>7800</x:v>
      </x:c>
      <x:c r="I14" s="33" t="n">
        <x:v>10000</x:v>
      </x:c>
      <x:c r="J14" s="33" t="n">
        <x:v>11900</x:v>
      </x:c>
      <x:c r="K14" s="33" t="n">
        <x:v>13700</x:v>
      </x:c>
      <x:c r="L14" s="33" t="n">
        <x:v>15300</x:v>
      </x:c>
      <x:c r="M14" s="33" t="n">
        <x:v>16800</x:v>
      </x:c>
      <x:c r="N14" s="33" t="n">
        <x:v>18100</x:v>
      </x:c>
      <x:c r="O14" s="33" t="n">
        <x:v>19200</x:v>
      </x:c>
    </x:row>
    <x:row r="15" ht="22" customHeight="1">
      <x:c r="A15" s="4" t="str">
        <x:v>SKI_BOOTS_ONLY_ADULT_STANDARD</x:v>
      </x:c>
      <x:c r="B15" s="4" t="str">
        <x:v>SKI</x:v>
      </x:c>
      <x:c r="C15" s="4" t="str">
        <x:v>ADULT/STANDARD</x:v>
      </x:c>
      <x:c r="D15" s="33" t="n">
        <x:v>2300</x:v>
      </x:c>
      <x:c r="E15" s="33" t="n">
        <x:v>2300</x:v>
      </x:c>
      <x:c r="F15" s="33" t="n">
        <x:v>3000</x:v>
      </x:c>
      <x:c r="G15" s="33" t="n">
        <x:v>5500</x:v>
      </x:c>
      <x:c r="H15" s="33" t="n">
        <x:v>7800</x:v>
      </x:c>
      <x:c r="I15" s="33" t="n">
        <x:v>10000</x:v>
      </x:c>
      <x:c r="J15" s="33" t="n">
        <x:v>11900</x:v>
      </x:c>
      <x:c r="K15" s="33" t="n">
        <x:v>13700</x:v>
      </x:c>
      <x:c r="L15" s="33" t="n">
        <x:v>15300</x:v>
      </x:c>
      <x:c r="M15" s="33" t="n">
        <x:v>16800</x:v>
      </x:c>
      <x:c r="N15" s="33" t="n">
        <x:v>18100</x:v>
      </x:c>
      <x:c r="O15" s="33" t="n">
        <x:v>19200</x:v>
      </x:c>
    </x:row>
    <x:row r="16" ht="22" customHeight="1">
      <x:c r="A16" s="4" t="str">
        <x:v>SKI_BOOTS_ONLY_KIDS_STANDARD</x:v>
      </x:c>
      <x:c r="B16" s="4" t="str">
        <x:v>SKI</x:v>
      </x:c>
      <x:c r="C16" s="4" t="str">
        <x:v>KIDS/STANDARD</x:v>
      </x:c>
      <x:c r="D16" s="33" t="n">
        <x:v>1100</x:v>
      </x:c>
      <x:c r="E16" s="33" t="n">
        <x:v>1100</x:v>
      </x:c>
      <x:c r="F16" s="33" t="n">
        <x:v>1500</x:v>
      </x:c>
      <x:c r="G16" s="33" t="n">
        <x:v>2800</x:v>
      </x:c>
      <x:c r="H16" s="33" t="n">
        <x:v>3900</x:v>
      </x:c>
      <x:c r="I16" s="33" t="n">
        <x:v>5000</x:v>
      </x:c>
      <x:c r="J16" s="33" t="n">
        <x:v>5900</x:v>
      </x:c>
      <x:c r="K16" s="33" t="n">
        <x:v>6800</x:v>
      </x:c>
      <x:c r="L16" s="33" t="n">
        <x:v>7700</x:v>
      </x:c>
      <x:c r="M16" s="33" t="n">
        <x:v>8400</x:v>
      </x:c>
      <x:c r="N16" s="33" t="n">
        <x:v>9000</x:v>
      </x:c>
      <x:c r="O16" s="33" t="n">
        <x:v>9600</x:v>
      </x:c>
    </x:row>
    <x:row r="17" ht="22" customHeight="1">
      <x:c r="A17" s="4" t="str">
        <x:v>SNOWBOARD_SET_ADULT_REGULAR</x:v>
      </x:c>
      <x:c r="B17" s="4" t="str">
        <x:v>SNOWBOARD</x:v>
      </x:c>
      <x:c r="C17" s="4" t="str">
        <x:v>ADULT/REGULAR</x:v>
      </x:c>
      <x:c r="D17" s="33" t="n">
        <x:v>5600</x:v>
      </x:c>
      <x:c r="E17" s="33" t="n">
        <x:v>5600</x:v>
      </x:c>
      <x:c r="F17" s="33" t="n">
        <x:v>7500</x:v>
      </x:c>
      <x:c r="G17" s="33" t="n">
        <x:v>13800</x:v>
      </x:c>
      <x:c r="H17" s="33" t="n">
        <x:v>19600</x:v>
      </x:c>
      <x:c r="I17" s="33" t="n">
        <x:v>24900</x:v>
      </x:c>
      <x:c r="J17" s="33" t="n">
        <x:v>29600</x:v>
      </x:c>
      <x:c r="K17" s="33" t="n">
        <x:v>34200</x:v>
      </x:c>
      <x:c r="L17" s="33" t="n">
        <x:v>38300</x:v>
      </x:c>
      <x:c r="M17" s="33" t="n">
        <x:v>42000</x:v>
      </x:c>
      <x:c r="N17" s="33" t="n">
        <x:v>45200</x:v>
      </x:c>
      <x:c r="O17" s="33" t="n">
        <x:v>48000</x:v>
      </x:c>
    </x:row>
    <x:row r="18" ht="22" customHeight="1">
      <x:c r="A18" s="4" t="str">
        <x:v>SNOWBOARD_SET_ADULT_PREMIUM</x:v>
      </x:c>
      <x:c r="B18" s="4" t="str">
        <x:v>SNOWBOARD</x:v>
      </x:c>
      <x:c r="C18" s="4" t="str">
        <x:v>ADULT/PREMIUM</x:v>
      </x:c>
      <x:c r="D18" s="33" t="n">
        <x:v>6800</x:v>
      </x:c>
      <x:c r="E18" s="33" t="n">
        <x:v>6800</x:v>
      </x:c>
      <x:c r="F18" s="33" t="n">
        <x:v>9000</x:v>
      </x:c>
      <x:c r="G18" s="33" t="n">
        <x:v>16600</x:v>
      </x:c>
      <x:c r="H18" s="33" t="n">
        <x:v>23500</x:v>
      </x:c>
      <x:c r="I18" s="33" t="n">
        <x:v>29900</x:v>
      </x:c>
      <x:c r="J18" s="33" t="n">
        <x:v>35600</x:v>
      </x:c>
      <x:c r="K18" s="33" t="n">
        <x:v>41000</x:v>
      </x:c>
      <x:c r="L18" s="33" t="n">
        <x:v>46000</x:v>
      </x:c>
      <x:c r="M18" s="33" t="n">
        <x:v>50400</x:v>
      </x:c>
      <x:c r="N18" s="33" t="n">
        <x:v>54300</x:v>
      </x:c>
      <x:c r="O18" s="33" t="n">
        <x:v>57600</x:v>
      </x:c>
    </x:row>
    <x:row r="19" ht="22" customHeight="1">
      <x:c r="A19" s="4" t="str">
        <x:v>SNOWBOARD_SET_KIDS_REGULAR</x:v>
      </x:c>
      <x:c r="B19" s="4" t="str">
        <x:v>SNOWBOARD</x:v>
      </x:c>
      <x:c r="C19" s="4" t="str">
        <x:v>KIDS/REGULAR</x:v>
      </x:c>
      <x:c r="D19" s="33" t="n">
        <x:v>3000</x:v>
      </x:c>
      <x:c r="E19" s="33" t="n">
        <x:v>3000</x:v>
      </x:c>
      <x:c r="F19" s="33" t="n">
        <x:v>4000</x:v>
      </x:c>
      <x:c r="G19" s="33" t="n">
        <x:v>7400</x:v>
      </x:c>
      <x:c r="H19" s="33" t="n">
        <x:v>10400</x:v>
      </x:c>
      <x:c r="I19" s="33" t="n">
        <x:v>13300</x:v>
      </x:c>
      <x:c r="J19" s="33" t="n">
        <x:v>15800</x:v>
      </x:c>
      <x:c r="K19" s="33" t="n">
        <x:v>18200</x:v>
      </x:c>
      <x:c r="L19" s="33" t="n">
        <x:v>20400</x:v>
      </x:c>
      <x:c r="M19" s="33" t="n">
        <x:v>22400</x:v>
      </x:c>
      <x:c r="N19" s="33" t="n">
        <x:v>24100</x:v>
      </x:c>
      <x:c r="O19" s="33" t="n">
        <x:v>25600</x:v>
      </x:c>
    </x:row>
    <x:row r="20" ht="22" customHeight="1">
      <x:c r="A20" s="4" t="str">
        <x:v>SNOWBOARD_EQUIPMENT_ONLY_ADULT_REGULAR</x:v>
      </x:c>
      <x:c r="B20" s="4" t="str">
        <x:v>SNOWBOARD</x:v>
      </x:c>
      <x:c r="C20" s="4" t="str">
        <x:v>ADULT/REGULAR</x:v>
      </x:c>
      <x:c r="D20" s="33" t="n">
        <x:v>4500</x:v>
      </x:c>
      <x:c r="E20" s="33" t="n">
        <x:v>4500</x:v>
      </x:c>
      <x:c r="F20" s="33" t="n">
        <x:v>6000</x:v>
      </x:c>
      <x:c r="G20" s="33" t="n">
        <x:v>11000</x:v>
      </x:c>
      <x:c r="H20" s="33" t="n">
        <x:v>15700</x:v>
      </x:c>
      <x:c r="I20" s="33" t="n">
        <x:v>19900</x:v>
      </x:c>
      <x:c r="J20" s="33" t="n">
        <x:v>23700</x:v>
      </x:c>
      <x:c r="K20" s="33" t="n">
        <x:v>27400</x:v>
      </x:c>
      <x:c r="L20" s="33" t="n">
        <x:v>30700</x:v>
      </x:c>
      <x:c r="M20" s="33" t="n">
        <x:v>33600</x:v>
      </x:c>
      <x:c r="N20" s="33" t="n">
        <x:v>36200</x:v>
      </x:c>
      <x:c r="O20" s="33" t="n">
        <x:v>38400</x:v>
      </x:c>
    </x:row>
    <x:row r="21" ht="22" customHeight="1">
      <x:c r="A21" s="4" t="str">
        <x:v>SNOWBOARD_EQUIPMENT_ONLY_ADULT_PREMIUM</x:v>
      </x:c>
      <x:c r="B21" s="4" t="str">
        <x:v>SNOWBOARD</x:v>
      </x:c>
      <x:c r="C21" s="4" t="str">
        <x:v>ADULT/PREMIUM</x:v>
      </x:c>
      <x:c r="D21" s="33" t="n">
        <x:v>5600</x:v>
      </x:c>
      <x:c r="E21" s="33" t="n">
        <x:v>5600</x:v>
      </x:c>
      <x:c r="F21" s="33" t="n">
        <x:v>7500</x:v>
      </x:c>
      <x:c r="G21" s="33" t="n">
        <x:v>13800</x:v>
      </x:c>
      <x:c r="H21" s="33" t="n">
        <x:v>19600</x:v>
      </x:c>
      <x:c r="I21" s="33" t="n">
        <x:v>24900</x:v>
      </x:c>
      <x:c r="J21" s="33" t="n">
        <x:v>29600</x:v>
      </x:c>
      <x:c r="K21" s="33" t="n">
        <x:v>34200</x:v>
      </x:c>
      <x:c r="L21" s="33" t="n">
        <x:v>38300</x:v>
      </x:c>
      <x:c r="M21" s="33" t="n">
        <x:v>42000</x:v>
      </x:c>
      <x:c r="N21" s="33" t="n">
        <x:v>45200</x:v>
      </x:c>
      <x:c r="O21" s="33" t="n">
        <x:v>48000</x:v>
      </x:c>
    </x:row>
    <x:row r="22" ht="22" customHeight="1">
      <x:c r="A22" s="4" t="str">
        <x:v>SNOWBOARD_EQUIPMENT_ONLY_KIDS_REGULAR</x:v>
      </x:c>
      <x:c r="B22" s="4" t="str">
        <x:v>SNOWBOARD</x:v>
      </x:c>
      <x:c r="C22" s="4" t="str">
        <x:v>KIDS/REGULAR</x:v>
      </x:c>
      <x:c r="D22" s="33" t="n">
        <x:v>2300</x:v>
      </x:c>
      <x:c r="E22" s="33" t="n">
        <x:v>2300</x:v>
      </x:c>
      <x:c r="F22" s="33" t="n">
        <x:v>3000</x:v>
      </x:c>
      <x:c r="G22" s="33" t="n">
        <x:v>5500</x:v>
      </x:c>
      <x:c r="H22" s="33" t="n">
        <x:v>7800</x:v>
      </x:c>
      <x:c r="I22" s="33" t="n">
        <x:v>10000</x:v>
      </x:c>
      <x:c r="J22" s="33" t="n">
        <x:v>11900</x:v>
      </x:c>
      <x:c r="K22" s="33" t="n">
        <x:v>13700</x:v>
      </x:c>
      <x:c r="L22" s="33" t="n">
        <x:v>15300</x:v>
      </x:c>
      <x:c r="M22" s="33" t="n">
        <x:v>16800</x:v>
      </x:c>
      <x:c r="N22" s="33" t="n">
        <x:v>18100</x:v>
      </x:c>
      <x:c r="O22" s="33" t="n">
        <x:v>19200</x:v>
      </x:c>
    </x:row>
    <x:row r="23" ht="22" customHeight="1">
      <x:c r="A23" s="4" t="str">
        <x:v>SNOWBOARD_BOOTS_ONLY_ADULT_STANDARD</x:v>
      </x:c>
      <x:c r="B23" s="4" t="str">
        <x:v>SNOWBOARD</x:v>
      </x:c>
      <x:c r="C23" s="4" t="str">
        <x:v>ADULT/STANDARD</x:v>
      </x:c>
      <x:c r="D23" s="33" t="n">
        <x:v>2300</x:v>
      </x:c>
      <x:c r="E23" s="33" t="n">
        <x:v>2300</x:v>
      </x:c>
      <x:c r="F23" s="33" t="n">
        <x:v>3000</x:v>
      </x:c>
      <x:c r="G23" s="33" t="n">
        <x:v>5500</x:v>
      </x:c>
      <x:c r="H23" s="33" t="n">
        <x:v>7800</x:v>
      </x:c>
      <x:c r="I23" s="33" t="n">
        <x:v>10000</x:v>
      </x:c>
      <x:c r="J23" s="33" t="n">
        <x:v>11900</x:v>
      </x:c>
      <x:c r="K23" s="33" t="n">
        <x:v>13700</x:v>
      </x:c>
      <x:c r="L23" s="33" t="n">
        <x:v>15300</x:v>
      </x:c>
      <x:c r="M23" s="33" t="n">
        <x:v>16800</x:v>
      </x:c>
      <x:c r="N23" s="33" t="n">
        <x:v>18100</x:v>
      </x:c>
      <x:c r="O23" s="33" t="n">
        <x:v>19200</x:v>
      </x:c>
    </x:row>
    <x:row r="24" ht="22" customHeight="1">
      <x:c r="A24" s="4" t="str">
        <x:v>SNOWBOARD_BOOTS_ONLY_KIDS_STANDARD</x:v>
      </x:c>
      <x:c r="B24" s="4" t="str">
        <x:v>SNOWBOARD</x:v>
      </x:c>
      <x:c r="C24" s="4" t="str">
        <x:v>KIDS/STANDARD</x:v>
      </x:c>
      <x:c r="D24" s="33" t="n">
        <x:v>1100</x:v>
      </x:c>
      <x:c r="E24" s="33" t="n">
        <x:v>1100</x:v>
      </x:c>
      <x:c r="F24" s="33" t="n">
        <x:v>1500</x:v>
      </x:c>
      <x:c r="G24" s="33" t="n">
        <x:v>2800</x:v>
      </x:c>
      <x:c r="H24" s="33" t="n">
        <x:v>3900</x:v>
      </x:c>
      <x:c r="I24" s="33" t="n">
        <x:v>5000</x:v>
      </x:c>
      <x:c r="J24" s="33" t="n">
        <x:v>5900</x:v>
      </x:c>
      <x:c r="K24" s="33" t="n">
        <x:v>6800</x:v>
      </x:c>
      <x:c r="L24" s="33" t="n">
        <x:v>7700</x:v>
      </x:c>
      <x:c r="M24" s="33" t="n">
        <x:v>8400</x:v>
      </x:c>
      <x:c r="N24" s="33" t="n">
        <x:v>9000</x:v>
      </x:c>
      <x:c r="O24" s="33" t="n">
        <x:v>9600</x:v>
      </x:c>
    </x:row>
    <x:row r="25" ht="22" customHeight="1">
      <x:c r="A25" s="4" t="str">
        <x:v>SKI_POLES_ONLY_ADULT_STANDARD</x:v>
      </x:c>
      <x:c r="B25" s="4" t="str">
        <x:v>SKI</x:v>
      </x:c>
      <x:c r="C25" s="4" t="str">
        <x:v>ADULT/STANDARD</x:v>
      </x:c>
      <x:c r="D25" s="33" t="n">
        <x:v>1100</x:v>
      </x:c>
      <x:c r="E25" s="33" t="n">
        <x:v>1100</x:v>
      </x:c>
      <x:c r="F25" s="33" t="n">
        <x:v>1500</x:v>
      </x:c>
      <x:c r="G25" s="33" t="n">
        <x:v>2800</x:v>
      </x:c>
      <x:c r="H25" s="33" t="n">
        <x:v>3900</x:v>
      </x:c>
      <x:c r="I25" s="33" t="n">
        <x:v>5000</x:v>
      </x:c>
      <x:c r="J25" s="33" t="n">
        <x:v>5900</x:v>
      </x:c>
      <x:c r="K25" s="33" t="n">
        <x:v>6800</x:v>
      </x:c>
      <x:c r="L25" s="33" t="n">
        <x:v>7700</x:v>
      </x:c>
      <x:c r="M25" s="33" t="n">
        <x:v>8400</x:v>
      </x:c>
      <x:c r="N25" s="33" t="n">
        <x:v>9000</x:v>
      </x:c>
      <x:c r="O25" s="33" t="n">
        <x:v>9600</x:v>
      </x:c>
    </x:row>
    <x:row r="26" ht="22" customHeight="1">
      <x:c r="A26" s="4" t="str">
        <x:v>SKI_POLES_ONLY_KIDS_STANDARD</x:v>
      </x:c>
      <x:c r="B26" s="4" t="str">
        <x:v>SKI</x:v>
      </x:c>
      <x:c r="C26" s="4" t="str">
        <x:v>KIDS/STANDARD</x:v>
      </x:c>
      <x:c r="D26" s="33" t="n">
        <x:v>800</x:v>
      </x:c>
      <x:c r="E26" s="33" t="n">
        <x:v>800</x:v>
      </x:c>
      <x:c r="F26" s="33" t="n">
        <x:v>1000</x:v>
      </x:c>
      <x:c r="G26" s="33" t="n">
        <x:v>1800</x:v>
      </x:c>
      <x:c r="H26" s="33" t="n">
        <x:v>2600</x:v>
      </x:c>
      <x:c r="I26" s="33" t="n">
        <x:v>3300</x:v>
      </x:c>
      <x:c r="J26" s="33" t="n">
        <x:v>4000</x:v>
      </x:c>
      <x:c r="K26" s="33" t="n">
        <x:v>4600</x:v>
      </x:c>
      <x:c r="L26" s="33" t="n">
        <x:v>5100</x:v>
      </x:c>
      <x:c r="M26" s="33" t="n">
        <x:v>5600</x:v>
      </x:c>
      <x:c r="N26" s="33" t="n">
        <x:v>6000</x:v>
      </x:c>
      <x:c r="O26" s="33" t="n">
        <x:v>6400</x:v>
      </x:c>
    </x:row>
    <x:row r="27" ht="22" customHeight="1">
      <x:c r="A27" s="4"/>
      <x:c r="B27" s="4"/>
      <x:c r="C27" s="4"/>
      <x:c r="D27" s="4"/>
      <x:c r="E27" s="4"/>
      <x:c r="F27" s="4"/>
      <x:c r="G27" s="4"/>
      <x:c r="H27" s="4"/>
      <x:c r="I27" s="4"/>
      <x:c r="J27" s="4"/>
      <x:c r="K27" s="4"/>
      <x:c r="L27" s="4"/>
      <x:c r="M27" s="4"/>
      <x:c r="N27" s="4"/>
      <x:c r="O27" s="4"/>
    </x:row>
    <x:row r="28" ht="22" customHeight="1">
      <x:c r="A28" s="4"/>
      <x:c r="B28" s="4"/>
      <x:c r="C28" s="4"/>
      <x:c r="D28" s="4"/>
      <x:c r="E28" s="4"/>
      <x:c r="F28" s="4"/>
      <x:c r="G28" s="4"/>
      <x:c r="H28" s="4"/>
      <x:c r="I28" s="4"/>
      <x:c r="J28" s="4"/>
      <x:c r="K28" s="4"/>
      <x:c r="L28" s="4"/>
      <x:c r="M28" s="4"/>
      <x:c r="N28" s="4"/>
      <x:c r="O28" s="4"/>
    </x:row>
    <x:row r="29" ht="22" customHeight="1">
      <x:c r="A29" s="4"/>
      <x:c r="B29" s="4"/>
      <x:c r="C29" s="4"/>
      <x:c r="D29" s="4"/>
      <x:c r="E29" s="4"/>
      <x:c r="F29" s="4"/>
      <x:c r="G29" s="4"/>
      <x:c r="H29" s="4"/>
      <x:c r="I29" s="4"/>
      <x:c r="J29" s="4"/>
      <x:c r="K29" s="4"/>
      <x:c r="L29" s="4"/>
      <x:c r="M29" s="4"/>
      <x:c r="N29" s="4"/>
      <x:c r="O29" s="4"/>
    </x:row>
    <x:row r="30" ht="22" customHeight="1">
      <x:c r="A30" s="4"/>
      <x:c r="B30" s="4"/>
      <x:c r="C30" s="4"/>
      <x:c r="D30" s="4"/>
      <x:c r="E30" s="4"/>
      <x:c r="F30" s="4"/>
      <x:c r="G30" s="4"/>
      <x:c r="H30" s="4"/>
      <x:c r="I30" s="4"/>
      <x:c r="J30" s="4"/>
      <x:c r="K30" s="4"/>
      <x:c r="L30" s="4"/>
      <x:c r="M30" s="4"/>
      <x:c r="N30" s="4"/>
      <x:c r="O30" s="4"/>
    </x:row>
  </x:sheetData>
  <x:mergeCells>
    <x:mergeCell ref="A1:O1"/>
    <x:mergeCell ref="A2:O3"/>
  </x:mergeCells>
  <x:pageMargins left="0.7" right="0.7" top="0.75" bottom="0.75" header="0.3" footer="0.3"/>
</x:worksheet>
</file>

<file path=xl/worksheets/sheet7.xml><?xml version="1.0" encoding="utf-8"?>
<x:worksheet xmlns:x="http://schemas.openxmlformats.org/spreadsheetml/2006/main">
  <x:sheetFormatPr defaultRowHeight="15"/>
  <x:cols>
    <x:col min="1" max="1" width="8" hidden="0" customWidth="1"/>
    <x:col min="2" max="2" width="26" hidden="0" customWidth="1"/>
    <x:col min="3" max="3" width="26" hidden="0" customWidth="1"/>
    <x:col min="4" max="4" width="26" hidden="0" customWidth="1"/>
    <x:col min="5" max="5" width="54" hidden="0" customWidth="1"/>
    <x:col min="6" max="6" width="70" hidden="0" customWidth="1"/>
  </x:cols>
  <x:sheetData>
    <x:row r="1" ht="34" customHeight="1">
      <x:c r="A1" s="7" t="str">
        <x:v>SOURCE REGISTER | 一次資料29件</x:v>
      </x:c>
      <x:c r="B1" s="7"/>
      <x:c r="C1" s="7"/>
      <x:c r="D1" s="7"/>
      <x:c r="E1" s="7"/>
      <x:c r="F1" s="7"/>
    </x:row>
    <x:row r="2" ht="22" customHeight="1">
      <x:c r="A2" s="12" t="str">
        <x:v>数値は調査時の観測。全Web掲載情報や全サロモン商品を網羅したものではない。各行の取得制約を参照。</x:v>
      </x:c>
      <x:c r="B2" s="12"/>
      <x:c r="C2" s="12"/>
      <x:c r="D2" s="12"/>
      <x:c r="E2" s="12"/>
      <x:c r="F2" s="12"/>
    </x:row>
    <x:row r="3" ht="22" customHeight="1">
      <x:c r="A3" s="12"/>
      <x:c r="B3" s="12"/>
      <x:c r="C3" s="12"/>
      <x:c r="D3" s="12"/>
      <x:c r="E3" s="12"/>
      <x:c r="F3" s="12"/>
    </x:row>
    <x:row r="4" ht="22" customHeight="1">
      <x:c r="A4" s="4"/>
      <x:c r="B4" s="4"/>
      <x:c r="C4" s="4"/>
      <x:c r="D4" s="4"/>
      <x:c r="E4" s="4"/>
      <x:c r="F4" s="4"/>
    </x:row>
    <x:row r="5" ht="22" customHeight="1">
      <x:c r="A5" s="4"/>
      <x:c r="B5" s="4"/>
      <x:c r="C5" s="4"/>
      <x:c r="D5" s="4"/>
      <x:c r="E5" s="4"/>
      <x:c r="F5" s="4"/>
    </x:row>
    <x:row r="6" ht="22" customHeight="1">
      <x:c r="A6" s="4"/>
      <x:c r="B6" s="4"/>
      <x:c r="C6" s="4"/>
      <x:c r="D6" s="4"/>
      <x:c r="E6" s="4"/>
      <x:c r="F6" s="4"/>
    </x:row>
    <x:row r="7" ht="22" customHeight="1">
      <x:c r="A7" s="4"/>
      <x:c r="B7" s="4"/>
      <x:c r="C7" s="4"/>
      <x:c r="D7" s="4"/>
      <x:c r="E7" s="4"/>
      <x:c r="F7" s="4"/>
    </x:row>
    <x:row r="8" ht="38" customHeight="1">
      <x:c r="A8" s="27" t="str">
        <x:v>ID</x:v>
      </x:c>
      <x:c r="B8" s="27" t="str">
        <x:v>資料名</x:v>
      </x:c>
      <x:c r="C8" s="27" t="str">
        <x:v>区分</x:v>
      </x:c>
      <x:c r="D8" s="27" t="str">
        <x:v>年式/時期</x:v>
      </x:c>
      <x:c r="E8" s="27" t="str">
        <x:v>URL</x:v>
      </x:c>
      <x:c r="F8" s="27" t="str">
        <x:v>確認内容・制約</x:v>
      </x:c>
    </x:row>
    <x:row r="9" ht="66" customHeight="1">
      <x:c r="A9" s="22" t="str">
        <x:v>R01</x:v>
      </x:c>
      <x:c r="B9" s="22" t="str">
        <x:v>カスカワスポーツ蔵王</x:v>
      </x:c>
      <x:c r="C9" s="22" t="str">
        <x:v>RENTAL_RATE</x:v>
      </x:c>
      <x:c r="D9" s="22" t="str">
        <x:v>2025/26</x:v>
      </x:c>
      <x:c r="E9" s="22" t="str">
        <x:v>https://zao-skirental.jp/</x:v>
      </x:c>
      <x:c r="F9" s="22" t="str">
        <x:v>税込ウェア上下1日4500、2日8000、3日11500、以後1日4500。道具Regularセット1日5500。 10日43000は掲載式の計算値。子供500円引きの適用範囲をウェアへ推測しない。</x:v>
      </x:c>
    </x:row>
    <x:row r="10" ht="66" customHeight="1">
      <x:c r="A10" s="22" t="str">
        <x:v>R02</x:v>
      </x:c>
      <x:c r="B10" s="22" t="str">
        <x:v>蔵王レンタサービス</x:v>
      </x:c>
      <x:c r="C10" s="22" t="str">
        <x:v>RENTAL_RATE</x:v>
      </x:c>
      <x:c r="D10" s="22" t="str">
        <x:v>未記載</x:v>
      </x:c>
      <x:c r="E10" s="22" t="str">
        <x:v>https://zaoski.makino-fruits.com/</x:v>
      </x:c>
      <x:c r="F10" s="22" t="str">
        <x:v>税込ウェア上下1日3500/HP3200、2日6500/5900、3日9500/8600、5日15500/14000。 HP券提示条件。新季の料金確定ではない。</x:v>
      </x:c>
    </x:row>
    <x:row r="11" ht="66" customHeight="1">
      <x:c r="A11" s="22" t="str">
        <x:v>R03</x:v>
      </x:c>
      <x:c r="B11" s="22" t="str">
        <x:v>蔵王ライザ</x:v>
      </x:c>
      <x:c r="C11" s="22" t="str">
        <x:v>RENTAL_RATE</x:v>
      </x:c>
      <x:c r="D11" s="22" t="str">
        <x:v>未記載</x:v>
      </x:c>
      <x:c r="E11" s="22" t="str">
        <x:v>https://www.zaoliza.co.jp/wntr/rentals/</x:v>
      </x:c>
      <x:c r="F11" s="22" t="str">
        <x:v>ウェア大人4時間3500/1日4000、子供2500/3000。 古い感染症注意が残る。リフト付き10000円は純レンタルと比較しない。</x:v>
      </x:c>
    </x:row>
    <x:row r="12" ht="66" customHeight="1">
      <x:c r="A12" s="22" t="str">
        <x:v>R04</x:v>
      </x:c>
      <x:c r="B12" s="22" t="str">
        <x:v>川場スキー場</x:v>
      </x:c>
      <x:c r="C12" s="22" t="str">
        <x:v>RENTAL_RATE</x:v>
      </x:c>
      <x:c r="D12" s="22" t="str">
        <x:v>ページの料金版は公開前再確認</x:v>
      </x:c>
      <x:c r="E12" s="22" t="str">
        <x:v>https://www.kawaba.co.jp/rental/</x:v>
      </x:c>
      <x:c r="F12" s="22" t="str">
        <x:v>上下大人当日5500/事前5300、小人4700/4500。 大人高校生以上・小人中学生以下。事前決済は取り置き保証でないと明記。ZAOの13歳境界/在庫確保とは異なる。</x:v>
      </x:c>
    </x:row>
    <x:row r="13" ht="66" customHeight="1">
      <x:c r="A13" s="22" t="str">
        <x:v>R05</x:v>
      </x:c>
      <x:c r="B13" s="22" t="str">
        <x:v>パルコール嬬恋</x:v>
      </x:c>
      <x:c r="C13" s="22" t="str">
        <x:v>RENTAL_RATE</x:v>
      </x:c>
      <x:c r="D13" s="22" t="str">
        <x:v>未記載</x:v>
      </x:c>
      <x:c r="E13" s="22" t="str">
        <x:v>https://tsumagoiskiresort.life/rentals/</x:v>
      </x:c>
      <x:c r="F13" s="22" t="str">
        <x:v>税込1日大人道具5500、上下5000、道具+上下10000。子供4000、3500、5500。 子供小学6年以下。予約リンクと事前予約不可の記述が併存、予約方式の模倣根拠にはしない。</x:v>
      </x:c>
    </x:row>
    <x:row r="14" ht="66" customHeight="1">
      <x:c r="A14" s="22" t="str">
        <x:v>R06</x:v>
      </x:c>
      <x:c r="B14" s="22" t="str">
        <x:v>アルピナスポーツ志賀高原</x:v>
      </x:c>
      <x:c r="C14" s="22" t="str">
        <x:v>RENTAL_RATE</x:v>
      </x:c>
      <x:c r="D14" s="22" t="str">
        <x:v>2025/26 明示</x:v>
      </x:c>
      <x:c r="E14" s="22" t="str">
        <x:v>https://www.alpinasports.jp/</x:v>
      </x:c>
      <x:c r="F14" s="22" t="str">
        <x:v>税込大人上下4h2400/1日3000/2日5400/3日7800/4日10200。子供半額。道具5000+上下3000に対し合計7000。 前日23:59までWeb決済10%引き。ZAOへ同じ価格・締切は移植しない。襟カバーの都度洗濯と全着洗濯は別。</x:v>
      </x:c>
    </x:row>
    <x:row r="15" ht="66" customHeight="1">
      <x:c r="A15" s="22" t="str">
        <x:v>R07</x:v>
      </x:c>
      <x:c r="B15" s="22" t="str">
        <x:v>SPICY 白馬</x:v>
      </x:c>
      <x:c r="C15" s="22" t="str">
        <x:v>RENTAL_RATE_VERSION_CONFLICT</x:v>
      </x:c>
      <x:c r="D15" s="22" t="str">
        <x:v>本文2025/26・検索に2026/27が混在</x:v>
      </x:c>
      <x:c r="E15" s="22" t="str">
        <x:v>https://spicy.co.jp/winter/</x:v>
      </x:c>
      <x:c r="F15" s="22" t="str">
        <x:v>取得本文の上下大人1日5000/2日8000/3日11000、子供3000/5000/7000。 検索抜粋に6600/11000/15000等の別季値。最新単一価格として採用せず相場集計から除外。</x:v>
      </x:c>
    </x:row>
    <x:row r="16" ht="66" customHeight="1">
      <x:c r="A16" s="22" t="str">
        <x:v>R08</x:v>
      </x:c>
      <x:c r="B16" s="22" t="str">
        <x:v>YamaSport ニセコ</x:v>
      </x:c>
      <x:c r="C16" s="22" t="str">
        <x:v>RENTAL_RATE_VERSION_CONFLICT</x:v>
      </x:c>
      <x:c r="D16" s="22" t="str">
        <x:v>2025/26</x:v>
      </x:c>
      <x:c r="E16" s="22" t="str">
        <x:v>https://www.yamasportniseko.com/ja/pricing</x:v>
      </x:c>
      <x:c r="F16" s="22" t="str">
        <x:v>最終取得本文は大人上または下2720/4320/5920、10日11760。上下単純合算5440/8640/11840、10日23520。 別取得では各3060、10日13230。割引/取得版差未解決。表示原単位は1点。最新価格平均から除外し、期間割引の形だけ参照。</x:v>
      </x:c>
    </x:row>
    <x:row r="17" ht="66" customHeight="1">
      <x:c r="A17" s="22" t="str">
        <x:v>R09</x:v>
      </x:c>
      <x:c r="B17" s="22" t="str">
        <x:v>Rhythm Japan</x:v>
      </x:c>
      <x:c r="C17" s="22" t="str">
        <x:v>RENTAL_RATE</x:v>
      </x:c>
      <x:c r="D17" s="22" t="str">
        <x:v>版・店舗の最終選択は要再確認</x:v>
      </x:c>
      <x:c r="E17" s="22" t="str">
        <x:v>https://rhythmjapan.com/winter-rentals-services</x:v>
      </x:c>
      <x:c r="F17" s="22" t="str">
        <x:v>上または下大人3800/6100/7800、子供2600/3700/4300。 上下合算1日7600/5200は計算値、公式セット価格ではない。キッズ3〜13歳の表示。</x:v>
      </x:c>
    </x:row>
    <x:row r="18" ht="66" customHeight="1">
      <x:c r="A18" s="22" t="str">
        <x:v>R10</x:v>
      </x:c>
      <x:c r="B18" s="22" t="str">
        <x:v>みやぎ蔵王えぼし</x:v>
      </x:c>
      <x:c r="C18" s="22" t="str">
        <x:v>RENTAL_RATE</x:v>
      </x:c>
      <x:c r="D18" s="22" t="str">
        <x:v>未記載</x:v>
      </x:c>
      <x:c r="E18" s="22" t="str">
        <x:v>https://eboshi.co.jp/winter/rental/</x:v>
      </x:c>
      <x:c r="F18" s="22" t="str">
        <x:v>道具+ウェアのフルセット大人5時間8000/1日9000、子供5000/6000。 ウェア単独額はこの本文から未確定。小物は対象外。</x:v>
      </x:c>
    </x:row>
    <x:row r="19" ht="66" customHeight="1">
      <x:c r="A19" s="22" t="str">
        <x:v>R11</x:v>
      </x:c>
      <x:c r="B19" s="22" t="str">
        <x:v>アミューズスポーツ北海道</x:v>
      </x:c>
      <x:c r="C19" s="22" t="str">
        <x:v>RENTAL_RATE</x:v>
      </x:c>
      <x:c r="D19" s="22" t="str">
        <x:v>公開前再確認</x:v>
      </x:c>
      <x:c r="E19" s="22" t="str">
        <x:v>https://amuse-sports.com/rental/item/</x:v>
      </x:c>
      <x:c r="F19" s="22" t="str">
        <x:v>スキー/ボード共通上下 通常1日5000/2日6500/3日7500/4日8500、Web4000/5200/6000/6800。4日以後1日2000。 フルセットWeb8000は帽子/ゴーグル/手袋込み、価格品質/配送条件も異なる。</x:v>
      </x:c>
    </x:row>
    <x:row r="20" ht="66" customHeight="1">
      <x:c r="A20" s="22" t="str">
        <x:v>R12</x:v>
      </x:c>
      <x:c r="B20" s="22" t="str">
        <x:v>裏磐梯スキー場</x:v>
      </x:c>
      <x:c r="C20" s="22" t="str">
        <x:v>RENTAL_RATE</x:v>
      </x:c>
      <x:c r="D20" s="22" t="str">
        <x:v>未記載</x:v>
      </x:c>
      <x:c r="E20" s="22" t="str">
        <x:v>https://www.urabandai-ski.jp/facility/rental/</x:v>
      </x:c>
      <x:c r="F20" s="22" t="str">
        <x:v>上下大人3000、子供2000。道具セット4000/3000。 料金表の期間/税の明記は取得箇所で未確認。子供は小学生まで。参考下限、同条件中央値には使わない。</x:v>
      </x:c>
    </x:row>
    <x:row r="21" ht="66" customHeight="1">
      <x:c r="A21" s="22" t="str">
        <x:v>R13</x:v>
      </x:c>
      <x:c r="B21" s="22" t="str">
        <x:v>スプリングバレー仙台泉</x:v>
      </x:c>
      <x:c r="C21" s="22" t="str">
        <x:v>RENTAL_RATE_PARTIAL</x:v>
      </x:c>
      <x:c r="D21" s="22" t="str">
        <x:v>未確定</x:v>
      </x:c>
      <x:c r="E21" s="22" t="str">
        <x:v>https://www.springvalley.co.jp/winter/rental_shop/rental</x:v>
      </x:c>
      <x:c r="F21" s="22" t="str">
        <x:v>公式検索抜粋に時間別ウェア料金、取得本文は該当額を十分抽出できず。 数値比較/推奨表の計算根拠から除外。</x:v>
      </x:c>
    </x:row>
    <x:row r="22" ht="66" customHeight="1">
      <x:c r="A22" s="22" t="str">
        <x:v>R14</x:v>
      </x:c>
      <x:c r="B22" s="22" t="str">
        <x:v>休暇村岩手網張温泉</x:v>
      </x:c>
      <x:c r="C22" s="22" t="str">
        <x:v>RENTAL_RATE_PARTIAL</x:v>
      </x:c>
      <x:c r="D22" s="22" t="str">
        <x:v>未確定</x:v>
      </x:c>
      <x:c r="E22" s="22" t="str">
        <x:v>https://qkamura.or.jp/iwate/ski/</x:v>
      </x:c>
      <x:c r="F22" s="22" t="str">
        <x:v>公式検索抜粋にウェア料金、取得本文は古いキャッシュ/該当数値未検証。 数値比較/推奨表の計算根拠から除外。</x:v>
      </x:c>
    </x:row>
    <x:row r="23" ht="66" customHeight="1">
      <x:c r="A23" s="22" t="str">
        <x:v>T01</x:v>
      </x:c>
      <x:c r="B23" s="22" t="str">
        <x:v>Booqable quantity tracking</x:v>
      </x:c>
      <x:c r="C23" s="22" t="str">
        <x:v>IMPLEMENTATION</x:v>
      </x:c>
      <x:c r="D23" s="22" t="str">
        <x:v>2026</x:v>
      </x:c>
      <x:c r="E23" s="22" t="str">
        <x:v>https://help.booqable.com/en/articles/6820234-how-to-track-rental-products-in-quantities</x:v>
      </x:c>
      <x:c r="F23" s="22" t="str">
        <x:v>数量追跡は個体IDなし、variant/location別の数で管理。 個体追跡の速さとの比較。ZAOは混在返却・洗浄追跡を優先して衣類個体方式を推奨。</x:v>
      </x:c>
    </x:row>
    <x:row r="24" ht="66" customHeight="1">
      <x:c r="A24" s="22" t="str">
        <x:v>T02</x:v>
      </x:c>
      <x:c r="B24" s="22" t="str">
        <x:v>Booqable variants</x:v>
      </x:c>
      <x:c r="C24" s="22" t="str">
        <x:v>IMPLEMENTATION</x:v>
      </x:c>
      <x:c r="D24" s="22" t="str">
        <x:v>取得時点</x:v>
      </x:c>
      <x:c r="E24" s="22" t="str">
        <x:v>https://help.booqable.com/en/articles/90773-how-to-create-different-variations-of-one-product</x:v>
      </x:c>
      <x:c r="F24" s="22" t="str">
        <x:v>色・サイズ等のvariant、サイズ別/店舗別在庫を管理。 特定メーカーのサイズ同一性を証明するものではない。</x:v>
      </x:c>
    </x:row>
    <x:row r="25" ht="66" customHeight="1">
      <x:c r="A25" s="22" t="str">
        <x:v>T03</x:v>
      </x:c>
      <x:c r="B25" s="22" t="str">
        <x:v>Booqable product settings</x:v>
      </x:c>
      <x:c r="C25" s="22" t="str">
        <x:v>IMPLEMENTATION</x:v>
      </x:c>
      <x:c r="D25" s="22" t="str">
        <x:v>2025</x:v>
      </x:c>
      <x:c r="E25" s="22" t="str">
        <x:v>https://help.booqable.com/en/articles/90053-how-to-adjust-product-settings</x:v>
      </x:c>
      <x:c r="F25" s="22" t="str">
        <x:v>予約前後のbufferで準備/清掃時間を保護。既存注文に設定変更を自動反映しない。 Booqableは暦時間。ZAOの清掃時間を決める根拠ではない。allow shortageは採用しない。</x:v>
      </x:c>
    </x:row>
    <x:row r="26" ht="66" customHeight="1">
      <x:c r="A26" s="22" t="str">
        <x:v>T04</x:v>
      </x:c>
      <x:c r="B26" s="22" t="str">
        <x:v>Booqable downtime</x:v>
      </x:c>
      <x:c r="C26" s="22" t="str">
        <x:v>IMPLEMENTATION</x:v>
      </x:c>
      <x:c r="D26" s="22" t="str">
        <x:v>2026</x:v>
      </x:c>
      <x:c r="E26" s="22" t="str">
        <x:v>https://help.booqable.com/en/articles/12505664-how-to-schedule-downtime-for-your-products</x:v>
      </x:c>
      <x:c r="F26" s="22" t="str">
        <x:v>個体/数量で整備・修理・不足期間を登録、開始/停止と権限を分離。 仕様を参考にするがサービス導入はしない。</x:v>
      </x:c>
    </x:row>
    <x:row r="27" ht="66" customHeight="1">
      <x:c r="A27" s="22" t="str">
        <x:v>T05</x:v>
      </x:c>
      <x:c r="B27" s="22" t="str">
        <x:v>TWICE product bundles</x:v>
      </x:c>
      <x:c r="C27" s="22" t="str">
        <x:v>IMPLEMENTATION</x:v>
      </x:c>
      <x:c r="D27" s="22" t="str">
        <x:v>2026</x:v>
      </x:c>
      <x:c r="E27" s="22" t="str">
        <x:v>https://www.twicecommerce.com/docs/creating-product-bundles</x:v>
      </x:c>
      <x:c r="F27" s="22" t="str">
        <x:v>bundleでも各構成品の在庫追跡を維持。 掲載上nested bundles不可、1製品数量1の制約あり。ZAOは既存構成品をflatten、同じ制約を無理に継承しない。</x:v>
      </x:c>
    </x:row>
    <x:row r="28" ht="66" customHeight="1">
      <x:c r="A28" s="22" t="str">
        <x:v>T06</x:v>
      </x:c>
      <x:c r="B28" s="22" t="str">
        <x:v>Rentman serial numbers</x:v>
      </x:c>
      <x:c r="C28" s="22" t="str">
        <x:v>IMPLEMENTATION</x:v>
      </x:c>
      <x:c r="D28" s="22" t="str">
        <x:v>取得時点</x:v>
      </x:c>
      <x:c r="E28" s="22" t="str">
        <x:v>https://support.rentman.io/hc/en-us/articles/360013086279-Manage-Serial-Numbers</x:v>
      </x:c>
      <x:c r="F28" s="22" t="str">
        <x:v>個体の位置/状態をシリアル/QRで追跡。virtual combination自体にserialを付けない。 既存システムを置換する推薦ではない。</x:v>
      </x:c>
    </x:row>
    <x:row r="29" ht="66" customHeight="1">
      <x:c r="A29" s="22" t="str">
        <x:v>T07</x:v>
      </x:c>
      <x:c r="B29" s="22" t="str">
        <x:v>Rentman import</x:v>
      </x:c>
      <x:c r="C29" s="22" t="str">
        <x:v>IMPLEMENTATION</x:v>
      </x:c>
      <x:c r="D29" s="22" t="str">
        <x:v>取得時点</x:v>
      </x:c>
      <x:c r="E29" s="22" t="str">
        <x:v>https://support.rentman.io/hc/en-us/articles/24320695034642-Equipment-Import-How-do-I-Format-my-Import-File-for-Serialized-Equipment</x:v>
      </x:c>
      <x:c r="F29" s="22" t="str">
        <x:v>商品共通列と個体列を区別、未入力QRの生成、類似表記の重複リスク。 ZAOは原本数量から登録計画へ展開、同じ表でIDを再発行しない。</x:v>
      </x:c>
    </x:row>
    <x:row r="30" ht="66" customHeight="1">
      <x:c r="A30" s="22" t="str">
        <x:v>T08</x:v>
      </x:c>
      <x:c r="B30" s="22" t="str">
        <x:v>Salomon winter garment care</x:v>
      </x:c>
      <x:c r="C30" s="22" t="str">
        <x:v>CARE</x:v>
      </x:c>
      <x:c r="D30" s="22" t="str">
        <x:v>2020/取得時点</x:v>
      </x:c>
      <x:c r="E30" s="22" t="str">
        <x:v>https://www.salomon.com/en-gb/sg/a/how-to-wash-your-ski-snowboard-jacket-and-pants</x:v>
      </x:c>
      <x:c r="F30" s="22" t="str">
        <x:v>素材ごとの洗濯・乾燥を区別し、完全乾燥と取扱確認が必要。 個々のラベルを優先。予約ごとの一律洗浄頻度や実所要時間をこの資料だけで保証しない。</x:v>
      </x:c>
    </x:row>
    <x:row r="31" ht="66" customHeight="1">
      <x:c r="A31" s="22" t="str">
        <x:v>T09</x:v>
      </x:c>
      <x:c r="B31" s="22" t="str">
        <x:v>Salomon GoreTex care</x:v>
      </x:c>
      <x:c r="C31" s="22" t="str">
        <x:v>CARE</x:v>
      </x:c>
      <x:c r="D31" s="22" t="str">
        <x:v>2026</x:v>
      </x:c>
      <x:c r="E31" s="22" t="str">
        <x:v>https://www.salomon.com/en-us/sg/a/how-to-wash-gore-tex-clothing-and-restore-durable-water-repellency-dwr</x:v>
      </x:c>
      <x:c r="F31" s="22" t="str">
        <x:v>防水メンブレン衣類の洗剤/乾燥/撥水回復の注意。 すべての当店ウェアが同素材とは仮定しない。</x:v>
      </x:c>
    </x:row>
    <x:row r="32" ht="66" customHeight="1">
      <x:c r="A32" s="22" t="str">
        <x:v>T10</x:v>
      </x:c>
      <x:c r="B32" s="22" t="str">
        <x:v>Salomon sizing example</x:v>
      </x:c>
      <x:c r="C32" s="22" t="str">
        <x:v>SIZE_EXAMPLE</x:v>
      </x:c>
      <x:c r="D32" s="22" t="str">
        <x:v>現行商品ページ</x:v>
      </x:c>
      <x:c r="E32" s="22" t="str">
        <x:v>https://salomon.jp/products/mountain-flex-lc26516</x:v>
      </x:c>
      <x:c r="F32" s="22" t="str">
        <x:v>メンズボトムスにウエスト/ヒップ/股下の寸法案内あり。 このパンツは当店ウェアではない。サイズ表の構造例のみ、実レンタルの万能サイズ表として流用禁止。</x:v>
      </x:c>
    </x:row>
    <x:row r="33" ht="66" customHeight="1">
      <x:c r="A33" s="22" t="str">
        <x:v>T11</x:v>
      </x:c>
      <x:c r="B33" s="22" t="str">
        <x:v>国税庁 総額表示</x:v>
      </x:c>
      <x:c r="C33" s="22" t="str">
        <x:v>TAX_DISPLAY</x:v>
      </x:c>
      <x:c r="D33" s="22" t="str">
        <x:v>掲載基準2025-04-01</x:v>
      </x:c>
      <x:c r="E33" s="22" t="str">
        <x:v>https://www.nta.go.jp/taxes/shiraberu/taxanswer/shohi/6902.htm</x:v>
      </x:c>
      <x:c r="F33" s="22" t="str">
        <x:v>消費者向けにあらかじめ表示する価格の税込総額表示。 既存ZAOの税区分承認を代行しない。公開前に全価格版を整合させる。</x:v>
      </x:c>
    </x:row>
    <x:row r="34" ht="66" customHeight="1">
      <x:c r="A34" s="22" t="str">
        <x:v>C01</x:v>
      </x:c>
      <x:c r="B34" s="22" t="str">
        <x:v>Salomon snowboard catalog</x:v>
      </x:c>
      <x:c r="C34" s="22" t="str">
        <x:v>CATALOG_PORTAL</x:v>
      </x:c>
      <x:c r="D34" s="22" t="str">
        <x:v>2024/25 2025/26 2026/27</x:v>
      </x:c>
      <x:c r="E34" s="22" t="str">
        <x:v>https://salomon.jp/pages/snowboard-catalog</x:v>
      </x:c>
      <x:c r="F34" s="22" t="str">
        <x:v>年式別boards/boots/bindings/youth/softgoods/tech bookへの入口。 入口確認のみ。全SKUと数値抽出はこのパックの成果ではない。</x:v>
      </x:c>
    </x:row>
    <x:row r="35" ht="66" customHeight="1">
      <x:c r="A35" s="22" t="str">
        <x:v>C02</x:v>
      </x:c>
      <x:c r="B35" s="22" t="str">
        <x:v>Salomon snowboard categories</x:v>
      </x:c>
      <x:c r="C35" s="22" t="str">
        <x:v>CATALOG_PORTAL</x:v>
      </x:c>
      <x:c r="D35" s="22" t="str">
        <x:v>取得時点</x:v>
      </x:c>
      <x:c r="E35" s="22" t="str">
        <x:v>https://salomon.jp/pages/snowboarding</x:v>
      </x:c>
      <x:c r="F35" s="22" t="str">
        <x:v>ボード/ブーツ/ビンディング等カテゴリー。 スキー記事からボード仕様を推測しない。</x:v>
      </x:c>
    </x:row>
    <x:row r="36" ht="66" customHeight="1">
      <x:c r="A36" s="22" t="str">
        <x:v>C03</x:v>
      </x:c>
      <x:c r="B36" s="22" t="str">
        <x:v>Salomon ski catalog</x:v>
      </x:c>
      <x:c r="C36" s="22" t="str">
        <x:v>CATALOG_PORTAL</x:v>
      </x:c>
      <x:c r="D36" s="22" t="str">
        <x:v>2025/26 2026/27</x:v>
      </x:c>
      <x:c r="E36" s="22" t="str">
        <x:v>https://salomon.jp/pages/product-catalog</x:v>
      </x:c>
      <x:c r="F36" s="22" t="str">
        <x:v>スキー/ブーツ/ビンディング/ポール等の公式資料入口。 過去資料の取り違え・現物年式の推測禁止。</x:v>
      </x:c>
    </x:row>
    <x:row r="37" ht="66" customHeight="1">
      <x:c r="A37" s="22" t="str">
        <x:v>C04</x:v>
      </x:c>
      <x:c r="B37" s="22" t="str">
        <x:v>Salomon SIGHT example</x:v>
      </x:c>
      <x:c r="C37" s="22" t="str">
        <x:v>CATALOG_EXAMPLE</x:v>
      </x:c>
      <x:c r="D37" s="22" t="str">
        <x:v>現行掲載版は要対応確認</x:v>
      </x:c>
      <x:c r="E37" s="22" t="str">
        <x:v>https://salomon.jp/products/sight-l479249</x:v>
      </x:c>
      <x:c r="F37" s="22" t="str">
        <x:v>モデル名/商品コード/形状/用途説明の構造例。 実在庫への割当・年式確定・写真再利用は未実施。</x:v>
      </x:c>
    </x:row>
    <x:row r="38" ht="22" customHeight="1">
      <x:c r="A38" s="4"/>
      <x:c r="B38" s="4"/>
      <x:c r="C38" s="4"/>
      <x:c r="D38" s="4"/>
      <x:c r="E38" s="4"/>
      <x:c r="F38" s="4"/>
    </x:row>
  </x:sheetData>
  <x:mergeCells>
    <x:mergeCell ref="A1:F1"/>
    <x:mergeCell ref="A2:F3"/>
  </x:mergeCells>
  <x:pageMargins left="0.7" right="0.7" top="0.75" bottom="0.75" header="0.3" footer="0.3"/>
</x:worksheet>
</file>